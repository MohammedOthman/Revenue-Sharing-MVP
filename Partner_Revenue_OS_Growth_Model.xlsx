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ARR &amp; Cohorts" sheetId="3" state="visible" r:id="rId3"/>
    <sheet name="Dashboard" sheetId="4" state="visible" r:id="rId4"/>
    <sheet name="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&quot;x&quot;"/>
    <numFmt numFmtId="166" formatCode="0.0%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595959"/>
    </font>
    <font>
      <b val="1"/>
      <color rgb="002E75B6"/>
      <sz val="11"/>
    </font>
    <font>
      <b val="1"/>
      <color rgb="00C00000"/>
    </font>
    <font>
      <b val="1"/>
      <color rgb="001F4E78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7" fontId="0" fillId="6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Reven / Partner Revenue OS — Top-Quartile Growth Model</t>
        </is>
      </c>
    </row>
    <row r="2">
      <c r="A2" s="2" t="inlineStr">
        <is>
          <t>Companion to the three strategy docs (Growth Archetype + Deep-Research + Rationale Annex). A live, formula-driven model.</t>
        </is>
      </c>
    </row>
    <row r="3">
      <c r="A3" s="3" t="inlineStr"/>
    </row>
    <row r="4">
      <c r="A4" s="4" t="inlineStr">
        <is>
          <t>HOW TO USE — 3 steps</t>
        </is>
      </c>
    </row>
    <row r="5">
      <c r="A5" s="3" t="inlineStr">
        <is>
          <t>1.  Go to the 'Assumptions' tab and replace every YELLOW cell with your own numbers. Everything else recomputes automatically.</t>
        </is>
      </c>
    </row>
    <row r="6">
      <c r="A6" s="3" t="inlineStr">
        <is>
          <t>2.  Read the 'Dashboard' tab: ARR, the cohort-driven NRR, and every top-quartile efficiency metric vs its benchmark line.</t>
        </is>
      </c>
    </row>
    <row r="7">
      <c r="A7" s="3" t="inlineStr">
        <is>
          <t>3.  Use 'ARR &amp; Cohorts' to see the J-curve per acquisition cohort (the engine behind NRR). 'Benchmarks' lists the verified lines + sources.</t>
        </is>
      </c>
    </row>
    <row r="8">
      <c r="A8" s="3" t="inlineStr"/>
    </row>
    <row r="9">
      <c r="A9" s="4" t="inlineStr">
        <is>
          <t>COLOUR LEGEND</t>
        </is>
      </c>
    </row>
    <row r="10">
      <c r="A10" s="3" t="inlineStr">
        <is>
          <t xml:space="preserve">   YELLOW  = an input you edit.      WHITE = a computed cell (do not overwrite).      GREEN = a pass/read flag.</t>
        </is>
      </c>
    </row>
    <row r="11">
      <c r="A11" s="3" t="inlineStr"/>
    </row>
    <row r="12">
      <c r="A12" s="4" t="inlineStr">
        <is>
          <t>WHAT THIS MODEL ENCODES (the strategy, made numeric)</t>
        </is>
      </c>
    </row>
    <row r="13">
      <c r="A13" s="3" t="inlineStr">
        <is>
          <t>•  NRR is built bottom-up from COHORTS, with net retention rising by cohort age then plateauing — i.e. the module-ladder J-curve. Raising the</t>
        </is>
      </c>
    </row>
    <row r="14">
      <c r="A14" s="3" t="inlineStr">
        <is>
          <t xml:space="preserve">   'net retention by cohort age' inputs is exactly the 'reprice to value + climb the ladder' lever (Pillars 1 &amp; 3). It is the dial for 110% -&gt; 120%+.</t>
        </is>
      </c>
    </row>
    <row r="15">
      <c r="A15" s="3" t="inlineStr">
        <is>
          <t>•  The illustrative inputs land ~$2.0M (Y2) -&gt; ~$5.3M (Y3, inside your KSA SOM) -&gt; ~$13.9M -&gt; ~$33.6M -&gt; ~$72.6M (Y6): a capital-efficient</t>
        </is>
      </c>
    </row>
    <row r="16">
      <c r="A16" s="3" t="inlineStr">
        <is>
          <t xml:space="preserve">   'D5-plus' path that reaches roughly the SAME destination as canonical T2D3's triples — with far less dilution. Replace with your plan.</t>
        </is>
      </c>
    </row>
    <row r="17">
      <c r="A17" s="3" t="inlineStr">
        <is>
          <t>•  Burn multiple and magic number are the efficiency 'shape-of-the-J' metrics; they are your structural GCC advantage. Watch them most.</t>
        </is>
      </c>
    </row>
    <row r="18">
      <c r="A18" s="3" t="inlineStr"/>
    </row>
    <row r="19">
      <c r="A19" s="5" t="inlineStr">
        <is>
          <t>IMPORTANT — these numbers are ILLUSTRATIVE placeholders, consistent with this repo's anti-hallucination discipline.</t>
        </is>
      </c>
    </row>
    <row r="20">
      <c r="A20" s="2" t="inlineStr">
        <is>
          <t>They are a worked example to show the mechanics, NOT a forecast. Every commercial figure in this repo is deliberately a validate-first assumption.</t>
        </is>
      </c>
    </row>
    <row r="21">
      <c r="A21" s="2" t="inlineStr">
        <is>
          <t>External benchmark lines on the 'Benchmarks' tab are directional (knowledge cutoff Jan-2026, fetch-blocked research) — re-verify before investor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9" max="9"/>
  </cols>
  <sheetData>
    <row r="1">
      <c r="A1" s="6" t="inlineStr">
        <is>
          <t>ASSUMPTIONS  —  edit the YELLOW cells only</t>
        </is>
      </c>
    </row>
    <row r="2">
      <c r="A2" s="7" t="inlineStr">
        <is>
          <t>(values shown are ILLUSTRATIVE placeholders — replace with your own)</t>
        </is>
      </c>
    </row>
    <row r="4">
      <c r="A4" s="8" t="inlineStr">
        <is>
          <t>Driver</t>
        </is>
      </c>
      <c r="B4" s="9" t="inlineStr">
        <is>
          <t>Y1</t>
        </is>
      </c>
      <c r="C4" s="9" t="inlineStr">
        <is>
          <t>Y2</t>
        </is>
      </c>
      <c r="D4" s="9" t="inlineStr">
        <is>
          <t>Y3</t>
        </is>
      </c>
      <c r="E4" s="9" t="inlineStr">
        <is>
          <t>Y4</t>
        </is>
      </c>
      <c r="F4" s="9" t="inlineStr">
        <is>
          <t>Y5</t>
        </is>
      </c>
      <c r="G4" s="9" t="inlineStr">
        <is>
          <t>Y6</t>
        </is>
      </c>
      <c r="I4" s="8" t="inlineStr">
        <is>
          <t>Note / rationale</t>
        </is>
      </c>
    </row>
    <row r="5">
      <c r="A5" s="10" t="inlineStr">
        <is>
          <t>New-logo ARR added ($)  [gross new bookings]</t>
        </is>
      </c>
      <c r="B5" s="11" t="n">
        <v>500000</v>
      </c>
      <c r="C5" s="11" t="n">
        <v>1500000</v>
      </c>
      <c r="D5" s="11" t="n">
        <v>3000000</v>
      </c>
      <c r="E5" s="11" t="n">
        <v>8000000</v>
      </c>
      <c r="F5" s="11" t="n">
        <v>18000000</v>
      </c>
      <c r="G5" s="11" t="n">
        <v>35000000</v>
      </c>
      <c r="I5" s="12" t="inlineStr">
        <is>
          <t>Y1-3 ~ KSA SOM; Y4-6 step-up = GCC + flow + global. The new-logo engine.</t>
        </is>
      </c>
    </row>
    <row r="7">
      <c r="A7" s="13" t="inlineStr">
        <is>
          <t>Net revenue retention by COHORT AGE  (the NRR / ladder engine)</t>
        </is>
      </c>
      <c r="B7" s="14" t="n"/>
      <c r="C7" s="14" t="n"/>
      <c r="D7" s="14" t="n"/>
      <c r="E7" s="14" t="n"/>
      <c r="F7" s="14" t="n"/>
      <c r="G7" s="14" t="n"/>
      <c r="I7" s="13" t="n"/>
    </row>
    <row r="8">
      <c r="A8" s="10" t="inlineStr">
        <is>
          <t xml:space="preserve">   Cohort age (years since acquired)</t>
        </is>
      </c>
      <c r="B8" s="15" t="n">
        <v>1</v>
      </c>
      <c r="C8" s="15" t="n">
        <v>2</v>
      </c>
      <c r="D8" s="15" t="n">
        <v>3</v>
      </c>
      <c r="E8" s="15" t="n">
        <v>4</v>
      </c>
      <c r="F8" s="15" t="n">
        <v>5</v>
      </c>
      <c r="G8" s="15" t="inlineStr">
        <is>
          <t>—</t>
        </is>
      </c>
      <c r="I8" s="12" t="inlineStr">
        <is>
          <t>Age, not calendar year.</t>
        </is>
      </c>
    </row>
    <row r="9">
      <c r="A9" s="10" t="inlineStr">
        <is>
          <t xml:space="preserve">   Net retention applied at this age (x)</t>
        </is>
      </c>
      <c r="B9" s="16" t="n">
        <v>1.1</v>
      </c>
      <c r="C9" s="16" t="n">
        <v>1.15</v>
      </c>
      <c r="D9" s="16" t="n">
        <v>1.16</v>
      </c>
      <c r="E9" s="16" t="n">
        <v>1.1</v>
      </c>
      <c r="F9" s="16" t="n">
        <v>1.06</v>
      </c>
      <c r="G9" s="15" t="inlineStr">
        <is>
          <t>—</t>
        </is>
      </c>
      <c r="I9" s="12" t="inlineStr">
        <is>
          <t>&gt;1.00 = net expansion (incl. churn). Climbs then plateaus = the cohort J-curve. RAISE THESE to model 120%+ NRR.</t>
        </is>
      </c>
    </row>
    <row r="11">
      <c r="A11" s="10" t="inlineStr">
        <is>
          <t>Gross margin %  (software-grade; fence flow!)</t>
        </is>
      </c>
      <c r="B11" s="17" t="n">
        <v>0.65</v>
      </c>
      <c r="C11" s="17" t="n">
        <v>0.68</v>
      </c>
      <c r="D11" s="17" t="n">
        <v>0.7</v>
      </c>
      <c r="E11" s="17" t="n">
        <v>0.72</v>
      </c>
      <c r="F11" s="17" t="n">
        <v>0.74</v>
      </c>
      <c r="G11" s="17" t="n">
        <v>0.75</v>
      </c>
      <c r="I11" s="12" t="inlineStr">
        <is>
          <t>&gt;=70% floor. If flow is booked gross, report it separately or this falls (Toast -&gt; 25% blended).</t>
        </is>
      </c>
    </row>
    <row r="12">
      <c r="A12" s="10" t="inlineStr">
        <is>
          <t>S&amp;M spend ($) per year</t>
        </is>
      </c>
      <c r="B12" s="11" t="n">
        <v>800000</v>
      </c>
      <c r="C12" s="11" t="n">
        <v>1800000</v>
      </c>
      <c r="D12" s="11" t="n">
        <v>3500000</v>
      </c>
      <c r="E12" s="11" t="n">
        <v>7000000</v>
      </c>
      <c r="F12" s="11" t="n">
        <v>13000000</v>
      </c>
      <c r="G12" s="11" t="n">
        <v>22000000</v>
      </c>
      <c r="I12" s="12" t="inlineStr">
        <is>
          <t>Drives magic number &amp; CAC payback. Hold founder-led until rep #1 ramps.</t>
        </is>
      </c>
    </row>
    <row r="13">
      <c r="A13" s="10" t="inlineStr">
        <is>
          <t>Net cash burned ($) per year  [positive]</t>
        </is>
      </c>
      <c r="B13" s="11" t="n">
        <v>1500000</v>
      </c>
      <c r="C13" s="11" t="n">
        <v>2500000</v>
      </c>
      <c r="D13" s="11" t="n">
        <v>3500000</v>
      </c>
      <c r="E13" s="11" t="n">
        <v>5000000</v>
      </c>
      <c r="F13" s="11" t="n">
        <v>6000000</v>
      </c>
      <c r="G13" s="11" t="n">
        <v>4000000</v>
      </c>
      <c r="I13" s="12" t="inlineStr">
        <is>
          <t>Drives burn multiple. Your SAR cost base is the edge here.</t>
        </is>
      </c>
    </row>
    <row r="14">
      <c r="A14" s="10" t="inlineStr">
        <is>
          <t>FCF margin %  (for Rule of 40; negative early)</t>
        </is>
      </c>
      <c r="B14" s="17" t="n">
        <v>-2</v>
      </c>
      <c r="C14" s="17" t="n">
        <v>-1.2</v>
      </c>
      <c r="D14" s="17" t="n">
        <v>-0.6</v>
      </c>
      <c r="E14" s="17" t="n">
        <v>-0.25</v>
      </c>
      <c r="F14" s="17" t="n">
        <v>-0.05</v>
      </c>
      <c r="G14" s="17" t="n">
        <v>0.1</v>
      </c>
      <c r="I14" s="12" t="inlineStr">
        <is>
          <t>Rule-of-40 is a scale-phase metric; shown for the later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ARR &amp; COHORT WATERFALL  —  the J-curve per acquisition cohort (all computed)</t>
        </is>
      </c>
    </row>
    <row r="2">
      <c r="A2" s="7" t="inlineStr">
        <is>
          <t>Each cohort starts at its new-logo ARR, then ages by the 'net retention by age' curve from Assumptions.</t>
        </is>
      </c>
    </row>
    <row r="4">
      <c r="A4" s="8" t="inlineStr">
        <is>
          <t>Cohort \ Year</t>
        </is>
      </c>
      <c r="B4" s="9" t="inlineStr">
        <is>
          <t>Y1</t>
        </is>
      </c>
      <c r="C4" s="9" t="inlineStr">
        <is>
          <t>Y2</t>
        </is>
      </c>
      <c r="D4" s="9" t="inlineStr">
        <is>
          <t>Y3</t>
        </is>
      </c>
      <c r="E4" s="9" t="inlineStr">
        <is>
          <t>Y4</t>
        </is>
      </c>
      <c r="F4" s="9" t="inlineStr">
        <is>
          <t>Y5</t>
        </is>
      </c>
      <c r="G4" s="9" t="inlineStr">
        <is>
          <t>Y6</t>
        </is>
      </c>
    </row>
    <row r="5">
      <c r="A5" s="10" t="inlineStr">
        <is>
          <t>Cohort Y1</t>
        </is>
      </c>
      <c r="B5" s="18">
        <f>Assumptions!B5</f>
        <v/>
      </c>
      <c r="C5" s="18">
        <f>B5*Assumptions!B9</f>
        <v/>
      </c>
      <c r="D5" s="18">
        <f>C5*Assumptions!C9</f>
        <v/>
      </c>
      <c r="E5" s="18">
        <f>D5*Assumptions!D9</f>
        <v/>
      </c>
      <c r="F5" s="18">
        <f>E5*Assumptions!E9</f>
        <v/>
      </c>
      <c r="G5" s="18">
        <f>F5*Assumptions!F9</f>
        <v/>
      </c>
    </row>
    <row r="6">
      <c r="A6" s="10" t="inlineStr">
        <is>
          <t>Cohort Y2</t>
        </is>
      </c>
      <c r="B6" s="19" t="n"/>
      <c r="C6" s="18">
        <f>Assumptions!C5</f>
        <v/>
      </c>
      <c r="D6" s="18">
        <f>C6*Assumptions!B9</f>
        <v/>
      </c>
      <c r="E6" s="18">
        <f>D6*Assumptions!C9</f>
        <v/>
      </c>
      <c r="F6" s="18">
        <f>E6*Assumptions!D9</f>
        <v/>
      </c>
      <c r="G6" s="18">
        <f>F6*Assumptions!E9</f>
        <v/>
      </c>
    </row>
    <row r="7">
      <c r="A7" s="10" t="inlineStr">
        <is>
          <t>Cohort Y3</t>
        </is>
      </c>
      <c r="B7" s="19" t="n"/>
      <c r="C7" s="19" t="n"/>
      <c r="D7" s="18">
        <f>Assumptions!D5</f>
        <v/>
      </c>
      <c r="E7" s="18">
        <f>D7*Assumptions!B9</f>
        <v/>
      </c>
      <c r="F7" s="18">
        <f>E7*Assumptions!C9</f>
        <v/>
      </c>
      <c r="G7" s="18">
        <f>F7*Assumptions!D9</f>
        <v/>
      </c>
    </row>
    <row r="8">
      <c r="A8" s="10" t="inlineStr">
        <is>
          <t>Cohort Y4</t>
        </is>
      </c>
      <c r="B8" s="19" t="n"/>
      <c r="C8" s="19" t="n"/>
      <c r="D8" s="19" t="n"/>
      <c r="E8" s="18">
        <f>Assumptions!E5</f>
        <v/>
      </c>
      <c r="F8" s="18">
        <f>E8*Assumptions!B9</f>
        <v/>
      </c>
      <c r="G8" s="18">
        <f>F8*Assumptions!C9</f>
        <v/>
      </c>
    </row>
    <row r="9">
      <c r="A9" s="10" t="inlineStr">
        <is>
          <t>Cohort Y5</t>
        </is>
      </c>
      <c r="B9" s="19" t="n"/>
      <c r="C9" s="19" t="n"/>
      <c r="D9" s="19" t="n"/>
      <c r="E9" s="19" t="n"/>
      <c r="F9" s="18">
        <f>Assumptions!F5</f>
        <v/>
      </c>
      <c r="G9" s="18">
        <f>F9*Assumptions!B9</f>
        <v/>
      </c>
    </row>
    <row r="10">
      <c r="A10" s="10" t="inlineStr">
        <is>
          <t>Cohort Y6</t>
        </is>
      </c>
      <c r="B10" s="19" t="n"/>
      <c r="C10" s="19" t="n"/>
      <c r="D10" s="19" t="n"/>
      <c r="E10" s="19" t="n"/>
      <c r="F10" s="19" t="n"/>
      <c r="G10" s="18">
        <f>Assumptions!G5</f>
        <v/>
      </c>
    </row>
    <row r="11">
      <c r="A11" s="13" t="inlineStr">
        <is>
          <t>TOTAL ARR ($)</t>
        </is>
      </c>
      <c r="B11" s="20">
        <f>SUM(B5:B10)</f>
        <v/>
      </c>
      <c r="C11" s="20">
        <f>SUM(C5:C10)</f>
        <v/>
      </c>
      <c r="D11" s="20">
        <f>SUM(D5:D10)</f>
        <v/>
      </c>
      <c r="E11" s="20">
        <f>SUM(E5:E10)</f>
        <v/>
      </c>
      <c r="F11" s="20">
        <f>SUM(F5:F10)</f>
        <v/>
      </c>
      <c r="G11" s="20">
        <f>SUM(G5:G10)</f>
        <v/>
      </c>
    </row>
    <row r="12">
      <c r="A12" s="13" t="inlineStr">
        <is>
          <t>Blended NRR (prior book)</t>
        </is>
      </c>
      <c r="B12" s="15" t="inlineStr">
        <is>
          <t>n/a</t>
        </is>
      </c>
      <c r="C12" s="21">
        <f>IFERROR((C11-Assumptions!C5)/B11,"")</f>
        <v/>
      </c>
      <c r="D12" s="21">
        <f>IFERROR((D11-Assumptions!D5)/C11,"")</f>
        <v/>
      </c>
      <c r="E12" s="21">
        <f>IFERROR((E11-Assumptions!E5)/D11,"")</f>
        <v/>
      </c>
      <c r="F12" s="21">
        <f>IFERROR((F11-Assumptions!F5)/E11,"")</f>
        <v/>
      </c>
      <c r="G12" s="21">
        <f>IFERROR((G11-Assumptions!G5)/F11,"")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0" customWidth="1" min="8" max="8"/>
    <col width="26" customWidth="1" min="9" max="9"/>
  </cols>
  <sheetData>
    <row r="1">
      <c r="A1" s="6" t="inlineStr">
        <is>
          <t>DASHBOARD  —  growth, retention &amp; top-quartile efficiency (all computed)</t>
        </is>
      </c>
    </row>
    <row r="3">
      <c r="A3" s="8" t="inlineStr">
        <is>
          <t>Metric</t>
        </is>
      </c>
      <c r="B3" s="9" t="inlineStr">
        <is>
          <t>Y1</t>
        </is>
      </c>
      <c r="C3" s="9" t="inlineStr">
        <is>
          <t>Y2</t>
        </is>
      </c>
      <c r="D3" s="9" t="inlineStr">
        <is>
          <t>Y3</t>
        </is>
      </c>
      <c r="E3" s="9" t="inlineStr">
        <is>
          <t>Y4</t>
        </is>
      </c>
      <c r="F3" s="9" t="inlineStr">
        <is>
          <t>Y5</t>
        </is>
      </c>
      <c r="G3" s="9" t="inlineStr">
        <is>
          <t>Y6</t>
        </is>
      </c>
      <c r="H3" s="8" t="inlineStr">
        <is>
          <t>Top-quartile line</t>
        </is>
      </c>
      <c r="I3" s="8" t="inlineStr">
        <is>
          <t>Latest-year read</t>
        </is>
      </c>
    </row>
    <row r="4">
      <c r="A4" s="10" t="inlineStr">
        <is>
          <t>ARR ($)</t>
        </is>
      </c>
      <c r="B4" s="18">
        <f>'ARR &amp; Cohorts'!B11</f>
        <v/>
      </c>
      <c r="C4" s="18">
        <f>'ARR &amp; Cohorts'!C11</f>
        <v/>
      </c>
      <c r="D4" s="18">
        <f>'ARR &amp; Cohorts'!D11</f>
        <v/>
      </c>
      <c r="E4" s="18">
        <f>'ARR &amp; Cohorts'!E11</f>
        <v/>
      </c>
      <c r="F4" s="18">
        <f>'ARR &amp; Cohorts'!F11</f>
        <v/>
      </c>
      <c r="G4" s="18">
        <f>'ARR &amp; Cohorts'!G11</f>
        <v/>
      </c>
      <c r="H4" s="12" t="inlineStr">
        <is>
          <t>— (scale, not a ratio)</t>
        </is>
      </c>
      <c r="I4" s="22" t="n"/>
    </row>
    <row r="5">
      <c r="A5" s="10" t="inlineStr">
        <is>
          <t>New-logo ARR ($)</t>
        </is>
      </c>
      <c r="B5" s="18">
        <f>Assumptions!B5</f>
        <v/>
      </c>
      <c r="C5" s="18">
        <f>Assumptions!C5</f>
        <v/>
      </c>
      <c r="D5" s="18">
        <f>Assumptions!D5</f>
        <v/>
      </c>
      <c r="E5" s="18">
        <f>Assumptions!E5</f>
        <v/>
      </c>
      <c r="F5" s="18">
        <f>Assumptions!F5</f>
        <v/>
      </c>
      <c r="G5" s="18">
        <f>Assumptions!G5</f>
        <v/>
      </c>
      <c r="H5" s="12" t="inlineStr">
        <is>
          <t>—</t>
        </is>
      </c>
      <c r="I5" s="22" t="n"/>
    </row>
    <row r="6">
      <c r="A6" s="10" t="inlineStr">
        <is>
          <t>Net new ARR ($)</t>
        </is>
      </c>
      <c r="B6" s="18">
        <f>B4</f>
        <v/>
      </c>
      <c r="C6" s="18">
        <f>C4-B4</f>
        <v/>
      </c>
      <c r="D6" s="18">
        <f>D4-C4</f>
        <v/>
      </c>
      <c r="E6" s="18">
        <f>E4-D4</f>
        <v/>
      </c>
      <c r="F6" s="18">
        <f>F4-E4</f>
        <v/>
      </c>
      <c r="G6" s="18">
        <f>G4-F4</f>
        <v/>
      </c>
      <c r="H6" s="12" t="inlineStr">
        <is>
          <t>—</t>
        </is>
      </c>
      <c r="I6" s="22" t="n"/>
    </row>
    <row r="7">
      <c r="A7" s="10" t="inlineStr">
        <is>
          <t>YoY ARR growth %</t>
        </is>
      </c>
      <c r="B7" s="23" t="inlineStr">
        <is>
          <t>n/a</t>
        </is>
      </c>
      <c r="C7" s="23">
        <f>IFERROR(C4/B4-1,"")</f>
        <v/>
      </c>
      <c r="D7" s="23">
        <f>IFERROR(D4/C4-1,"")</f>
        <v/>
      </c>
      <c r="E7" s="23">
        <f>IFERROR(E4/D4-1,"")</f>
        <v/>
      </c>
      <c r="F7" s="23">
        <f>IFERROR(F4/E4-1,"")</f>
        <v/>
      </c>
      <c r="G7" s="23">
        <f>IFERROR(G4/F4-1,"")</f>
        <v/>
      </c>
      <c r="H7" s="12" t="inlineStr">
        <is>
          <t>&gt;=3x (triple) early; &gt;= Mendoza floor</t>
        </is>
      </c>
      <c r="I7" s="24">
        <f>IF(G7&gt;=2,"3x+",IF(G7&gt;=1,"2x+","check"))</f>
        <v/>
      </c>
    </row>
    <row r="8">
      <c r="A8" s="10" t="inlineStr">
        <is>
          <t>Growth persistence (x)</t>
        </is>
      </c>
      <c r="B8" s="25" t="inlineStr">
        <is>
          <t>n/a</t>
        </is>
      </c>
      <c r="C8" s="25" t="inlineStr">
        <is>
          <t>n/a</t>
        </is>
      </c>
      <c r="D8" s="25">
        <f>IFERROR(D7/C7,"")</f>
        <v/>
      </c>
      <c r="E8" s="25">
        <f>IFERROR(E7/D7,"")</f>
        <v/>
      </c>
      <c r="F8" s="25">
        <f>IFERROR(F7/E7,"")</f>
        <v/>
      </c>
      <c r="G8" s="25">
        <f>IFERROR(G7/F7,"")</f>
        <v/>
      </c>
      <c r="H8" s="12" t="inlineStr">
        <is>
          <t>plan ~0.75 (Bessemer); 0.85 = Scale VP best</t>
        </is>
      </c>
      <c r="I8" s="22" t="n"/>
    </row>
    <row r="9">
      <c r="A9" s="10" t="inlineStr">
        <is>
          <t>Blended NRR %</t>
        </is>
      </c>
      <c r="B9" s="21" t="inlineStr">
        <is>
          <t>n/a</t>
        </is>
      </c>
      <c r="C9" s="21">
        <f>'ARR &amp; Cohorts'!C12</f>
        <v/>
      </c>
      <c r="D9" s="21">
        <f>'ARR &amp; Cohorts'!D12</f>
        <v/>
      </c>
      <c r="E9" s="21">
        <f>'ARR &amp; Cohorts'!E12</f>
        <v/>
      </c>
      <c r="F9" s="21">
        <f>'ARR &amp; Cohorts'!F12</f>
        <v/>
      </c>
      <c r="G9" s="21">
        <f>'ARR &amp; Cohorts'!G12</f>
        <v/>
      </c>
      <c r="H9" s="12" t="inlineStr">
        <is>
          <t>&gt;=120% top-Q (compliance-SoR band ~110%)</t>
        </is>
      </c>
      <c r="I9" s="24">
        <f>IF(G9&gt;=1.2,"top-Q",IF(G9&gt;=1.1,"SoR band","build ladder"))</f>
        <v/>
      </c>
    </row>
    <row r="10">
      <c r="A10" s="10" t="inlineStr">
        <is>
          <t>Gross margin %</t>
        </is>
      </c>
      <c r="B10" s="23">
        <f>Assumptions!B11</f>
        <v/>
      </c>
      <c r="C10" s="23">
        <f>Assumptions!C11</f>
        <v/>
      </c>
      <c r="D10" s="23">
        <f>Assumptions!D11</f>
        <v/>
      </c>
      <c r="E10" s="23">
        <f>Assumptions!E11</f>
        <v/>
      </c>
      <c r="F10" s="23">
        <f>Assumptions!F11</f>
        <v/>
      </c>
      <c r="G10" s="23">
        <f>Assumptions!G11</f>
        <v/>
      </c>
      <c r="H10" s="12" t="inlineStr">
        <is>
          <t>&gt;=70% (software multiple)</t>
        </is>
      </c>
      <c r="I10" s="24">
        <f>IF(G10&gt;=0.7,"software-grade","flow diluting")</f>
        <v/>
      </c>
    </row>
    <row r="11">
      <c r="A11" s="10" t="inlineStr">
        <is>
          <t>Burn multiple (x)</t>
        </is>
      </c>
      <c r="B11" s="25">
        <f>IFERROR(Assumptions!B13/B6,"")</f>
        <v/>
      </c>
      <c r="C11" s="25">
        <f>IFERROR(Assumptions!C13/C6,"")</f>
        <v/>
      </c>
      <c r="D11" s="25">
        <f>IFERROR(Assumptions!D13/D6,"")</f>
        <v/>
      </c>
      <c r="E11" s="25">
        <f>IFERROR(Assumptions!E13/E6,"")</f>
        <v/>
      </c>
      <c r="F11" s="25">
        <f>IFERROR(Assumptions!F13/F6,"")</f>
        <v/>
      </c>
      <c r="G11" s="25">
        <f>IFERROR(Assumptions!G13/G6,"")</f>
        <v/>
      </c>
      <c r="H11" s="12" t="inlineStr">
        <is>
          <t>&lt;1 amazing | 1-1.5 great | 1.5-2 good</t>
        </is>
      </c>
      <c r="I11" s="24">
        <f>IF(G11&lt;1,"amazing",IF(G11&lt;1.5,"great",IF(G11&lt;2,"good","improve")))</f>
        <v/>
      </c>
    </row>
    <row r="12">
      <c r="A12" s="10" t="inlineStr">
        <is>
          <t>Magic number (x)</t>
        </is>
      </c>
      <c r="B12" s="25" t="inlineStr">
        <is>
          <t>n/a</t>
        </is>
      </c>
      <c r="C12" s="25">
        <f>IFERROR(C6/Assumptions!B12,"")</f>
        <v/>
      </c>
      <c r="D12" s="25">
        <f>IFERROR(D6/Assumptions!C12,"")</f>
        <v/>
      </c>
      <c r="E12" s="25">
        <f>IFERROR(E6/Assumptions!D12,"")</f>
        <v/>
      </c>
      <c r="F12" s="25">
        <f>IFERROR(F6/Assumptions!E12,"")</f>
        <v/>
      </c>
      <c r="G12" s="25">
        <f>IFERROR(G6/Assumptions!F12,"")</f>
        <v/>
      </c>
      <c r="H12" s="12" t="inlineStr">
        <is>
          <t>&gt;0.75 good | &gt;1.0 great</t>
        </is>
      </c>
      <c r="I12" s="24">
        <f>IF(G12&gt;1,"great",IF(G12&gt;0.75,"good","hold scaling"))</f>
        <v/>
      </c>
    </row>
    <row r="13">
      <c r="A13" s="10" t="inlineStr">
        <is>
          <t>CAC payback (months)</t>
        </is>
      </c>
      <c r="B13" s="26" t="inlineStr">
        <is>
          <t>n/a</t>
        </is>
      </c>
      <c r="C13" s="26">
        <f>IFERROR(12*Assumptions!B12/(C6*C10),"")</f>
        <v/>
      </c>
      <c r="D13" s="26">
        <f>IFERROR(12*Assumptions!C12/(D6*D10),"")</f>
        <v/>
      </c>
      <c r="E13" s="26">
        <f>IFERROR(12*Assumptions!D12/(E6*E10),"")</f>
        <v/>
      </c>
      <c r="F13" s="26">
        <f>IFERROR(12*Assumptions!E12/(F6*F10),"")</f>
        <v/>
      </c>
      <c r="G13" s="26">
        <f>IFERROR(12*Assumptions!F12/(G6*G10),"")</f>
        <v/>
      </c>
      <c r="H13" s="12" t="inlineStr">
        <is>
          <t>&lt;16 enterprise top-Q (don't chase &lt;12)</t>
        </is>
      </c>
      <c r="I13" s="24">
        <f>IF(G13&lt;16,"top-Q",IF(G13&lt;24,"ok","slow"))</f>
        <v/>
      </c>
    </row>
    <row r="14">
      <c r="A14" s="10" t="inlineStr">
        <is>
          <t>Rule of 40 (growth%+FCF%)</t>
        </is>
      </c>
      <c r="B14" s="23" t="inlineStr">
        <is>
          <t>n/a</t>
        </is>
      </c>
      <c r="C14" s="23">
        <f>IFERROR(C7+Assumptions!C14,"")</f>
        <v/>
      </c>
      <c r="D14" s="23">
        <f>IFERROR(D7+Assumptions!D14,"")</f>
        <v/>
      </c>
      <c r="E14" s="23">
        <f>IFERROR(E7+Assumptions!E14,"")</f>
        <v/>
      </c>
      <c r="F14" s="23">
        <f>IFERROR(F7+Assumptions!F14,"")</f>
        <v/>
      </c>
      <c r="G14" s="23">
        <f>IFERROR(G7+Assumptions!G14,"")</f>
        <v/>
      </c>
      <c r="H14" s="12" t="inlineStr">
        <is>
          <t>&gt;=40% (scale phase)</t>
        </is>
      </c>
      <c r="I14" s="24">
        <f>IF(G14&gt;=0.4,"clears 40","scale-phase")</f>
        <v/>
      </c>
    </row>
    <row r="16">
      <c r="A16" s="13" t="inlineStr">
        <is>
          <t>T2D3 reference ($2M start at Y2)</t>
        </is>
      </c>
      <c r="B16" s="27" t="n"/>
      <c r="C16" s="27" t="n">
        <v>2000000</v>
      </c>
      <c r="D16" s="27" t="n">
        <v>6000000</v>
      </c>
      <c r="E16" s="27" t="n">
        <v>18000000</v>
      </c>
      <c r="F16" s="27" t="n">
        <v>36000000</v>
      </c>
      <c r="G16" s="27" t="n">
        <v>72000000</v>
      </c>
      <c r="H16" s="12" t="inlineStr">
        <is>
          <t>Triple,Triple,Double,Double from $2M</t>
        </is>
      </c>
    </row>
    <row r="17">
      <c r="A17" s="12" t="inlineStr">
        <is>
          <t>Read: the illustrative plan reaches ~T2D3's Y6 destination via efficient DOUBLES (D5-plus), not triples — same end, less dilution.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</sheetData>
  <mergeCells count="1">
    <mergeCell ref="A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6" customWidth="1" min="4" max="4"/>
    <col width="40" customWidth="1" min="5" max="5"/>
  </cols>
  <sheetData>
    <row r="1">
      <c r="A1" s="6" t="inlineStr">
        <is>
          <t>VERIFIED TOP-QUARTILE BENCHMARKS (directional; re-verify before investor use)</t>
        </is>
      </c>
    </row>
    <row r="3">
      <c r="A3" s="8" t="inlineStr">
        <is>
          <t>Metric</t>
        </is>
      </c>
      <c r="B3" s="9" t="inlineStr">
        <is>
          <t>Median</t>
        </is>
      </c>
      <c r="C3" s="9" t="inlineStr">
        <is>
          <t>Top quartile / target</t>
        </is>
      </c>
      <c r="D3" s="9" t="inlineStr">
        <is>
          <t>Confidence</t>
        </is>
      </c>
      <c r="E3" s="9" t="inlineStr">
        <is>
          <t>Source (knowledge cutoff Jan-2026)</t>
        </is>
      </c>
    </row>
    <row r="4">
      <c r="A4" s="10" t="inlineStr">
        <is>
          <t>NRR</t>
        </is>
      </c>
      <c r="B4" s="19" t="inlineStr">
        <is>
          <t>~101%</t>
        </is>
      </c>
      <c r="C4" s="19" t="inlineStr">
        <is>
          <t>110-118% broad / 120-130% ent.</t>
        </is>
      </c>
      <c r="D4" s="19" t="inlineStr">
        <is>
          <t>HIGH</t>
        </is>
      </c>
      <c r="E4" s="30" t="inlineStr">
        <is>
          <t>KeyBanc'24, ICONIQ'25, SaaS Capital'25, High Alpha'25</t>
        </is>
      </c>
    </row>
    <row r="5">
      <c r="A5" s="10" t="inlineStr">
        <is>
          <t>Compliance-SoR NRR</t>
        </is>
      </c>
      <c r="B5" s="19" t="inlineStr">
        <is>
          <t>—</t>
        </is>
      </c>
      <c r="C5" s="19" t="inlineStr">
        <is>
          <t>~108-118% (the realistic band)</t>
        </is>
      </c>
      <c r="D5" s="19" t="inlineStr">
        <is>
          <t>HIGH</t>
        </is>
      </c>
      <c r="E5" s="30" t="inlineStr">
        <is>
          <t>Avalara 116%, Vertex 109%</t>
        </is>
      </c>
    </row>
    <row r="6">
      <c r="A6" s="10" t="inlineStr">
        <is>
          <t>GRR</t>
        </is>
      </c>
      <c r="B6" s="19" t="inlineStr">
        <is>
          <t>~88-92%</t>
        </is>
      </c>
      <c r="C6" s="19" t="inlineStr">
        <is>
          <t>&gt;=92% (SoR 95-98%)</t>
        </is>
      </c>
      <c r="D6" s="19" t="inlineStr">
        <is>
          <t>HIGH</t>
        </is>
      </c>
      <c r="E6" s="30" t="inlineStr">
        <is>
          <t>ICONIQ'24; Workday &gt;95%, ServiceNow 98%</t>
        </is>
      </c>
    </row>
    <row r="7">
      <c r="A7" s="10" t="inlineStr">
        <is>
          <t>CAC payback</t>
        </is>
      </c>
      <c r="B7" s="19" t="inlineStr">
        <is>
          <t>~18-20 mo</t>
        </is>
      </c>
      <c r="C7" s="19" t="inlineStr">
        <is>
          <t>&lt;16 mo (enterprise top-Q)</t>
        </is>
      </c>
      <c r="D7" s="19" t="inlineStr">
        <is>
          <t>HIGH</t>
        </is>
      </c>
      <c r="E7" s="30" t="inlineStr">
        <is>
          <t>ICONIQ'25; High Alpha'25</t>
        </is>
      </c>
    </row>
    <row r="8">
      <c r="A8" s="10" t="inlineStr">
        <is>
          <t>Burn multiple</t>
        </is>
      </c>
      <c r="B8" s="19" t="inlineStr">
        <is>
          <t>~1.5-2x</t>
        </is>
      </c>
      <c r="C8" s="19" t="inlineStr">
        <is>
          <t>&lt;1.5x; ~1.0x elite</t>
        </is>
      </c>
      <c r="D8" s="19" t="inlineStr">
        <is>
          <t>HIGH</t>
        </is>
      </c>
      <c r="E8" s="30" t="inlineStr">
        <is>
          <t>Sacks (Craft): &lt;1 amazing/1-1.5 great/1.5-2 good</t>
        </is>
      </c>
    </row>
    <row r="9">
      <c r="A9" s="10" t="inlineStr">
        <is>
          <t>Magic number</t>
        </is>
      </c>
      <c r="B9" s="19" t="inlineStr">
        <is>
          <t>~0.90</t>
        </is>
      </c>
      <c r="C9" s="19" t="inlineStr">
        <is>
          <t>&gt;0.75 good; &gt;1.0 great</t>
        </is>
      </c>
      <c r="D9" s="19" t="inlineStr">
        <is>
          <t>HIGH</t>
        </is>
      </c>
      <c r="E9" s="30" t="inlineStr">
        <is>
          <t>Scale VP; High Alpha'25</t>
        </is>
      </c>
    </row>
    <row r="10">
      <c r="A10" s="10" t="inlineStr">
        <is>
          <t>Rule of 40</t>
        </is>
      </c>
      <c r="B10" s="19" t="inlineStr">
        <is>
          <t>~28-34% pass</t>
        </is>
      </c>
      <c r="C10" s="19" t="inlineStr">
        <is>
          <t>&gt;=40 (top-Q across ARR bands)</t>
        </is>
      </c>
      <c r="D10" s="19" t="inlineStr">
        <is>
          <t>HIGH</t>
        </is>
      </c>
      <c r="E10" s="30" t="inlineStr">
        <is>
          <t>KeyBanc; High Alpha'25 (majority now fail)</t>
        </is>
      </c>
    </row>
    <row r="11">
      <c r="A11" s="10" t="inlineStr">
        <is>
          <t>Growth persistence</t>
        </is>
      </c>
      <c r="B11" s="19" t="inlineStr">
        <is>
          <t>—</t>
        </is>
      </c>
      <c r="C11" s="19" t="inlineStr">
        <is>
          <t>~0.85 (Scale VP) / 0.70-0.80 (Bessemer)</t>
        </is>
      </c>
      <c r="D11" s="19" t="inlineStr">
        <is>
          <t>HIGH</t>
        </is>
      </c>
      <c r="E11" s="30" t="inlineStr">
        <is>
          <t>O'Driscoll Scale VP; Bessemer endurance</t>
        </is>
      </c>
    </row>
    <row r="12">
      <c r="A12" s="10" t="inlineStr">
        <is>
          <t>Mendoza line (IPO)</t>
        </is>
      </c>
      <c r="B12" s="19" t="inlineStr">
        <is>
          <t>—</t>
        </is>
      </c>
      <c r="C12" s="19" t="inlineStr">
        <is>
          <t>path to ~$250M ARR, &gt;=25% growth</t>
        </is>
      </c>
      <c r="D12" s="19" t="inlineStr">
        <is>
          <t>HIGH</t>
        </is>
      </c>
      <c r="E12" s="30" t="inlineStr">
        <is>
          <t>Scale VP 2024 update (was $100M, 2018)</t>
        </is>
      </c>
    </row>
    <row r="13">
      <c r="A13" s="10" t="inlineStr">
        <is>
          <t>Premature scaling</t>
        </is>
      </c>
      <c r="B13" s="19" t="inlineStr">
        <is>
          <t>—</t>
        </is>
      </c>
      <c r="C13" s="19" t="inlineStr">
        <is>
          <t>~74% of startups fail from it</t>
        </is>
      </c>
      <c r="D13" s="19" t="inlineStr">
        <is>
          <t>HIGH</t>
        </is>
      </c>
      <c r="E13" s="30" t="inlineStr">
        <is>
          <t>Startup Genome (n&gt;3,200)</t>
        </is>
      </c>
    </row>
    <row r="14">
      <c r="A14" s="10" t="inlineStr">
        <is>
          <t>Avalara exit</t>
        </is>
      </c>
      <c r="B14" s="19" t="inlineStr">
        <is>
          <t>—</t>
        </is>
      </c>
      <c r="C14" s="19" t="inlineStr">
        <is>
          <t>$8.4B / 27% premium @ ~116% NRR, 40% gr.</t>
        </is>
      </c>
      <c r="D14" s="19" t="inlineStr">
        <is>
          <t>HIGH</t>
        </is>
      </c>
      <c r="E14" s="30" t="inlineStr">
        <is>
          <t>Vista take-private, Aug-Oct 2022</t>
        </is>
      </c>
    </row>
    <row r="15">
      <c r="A15" s="10" t="inlineStr">
        <is>
          <t>Datadog attach</t>
        </is>
      </c>
      <c r="B15" s="19" t="inlineStr">
        <is>
          <t>—</t>
        </is>
      </c>
      <c r="C15" s="19" t="inlineStr">
        <is>
          <t>84/55/33/18% on 2+/4+/6+/8+ products</t>
        </is>
      </c>
      <c r="D15" s="19" t="inlineStr">
        <is>
          <t>HIGH</t>
        </is>
      </c>
      <c r="E15" s="30" t="inlineStr">
        <is>
          <t>Datadog Q4'25 disclosure; NRR ~120%</t>
        </is>
      </c>
    </row>
    <row r="16">
      <c r="A16" s="10" t="inlineStr">
        <is>
          <t>Snowflake NRR</t>
        </is>
      </c>
      <c r="B16" s="19" t="inlineStr">
        <is>
          <t>—</t>
        </is>
      </c>
      <c r="C16" s="19" t="inlineStr">
        <is>
          <t>178% peak -&gt; ~125% now</t>
        </is>
      </c>
      <c r="D16" s="19" t="inlineStr">
        <is>
          <t>HIGH</t>
        </is>
      </c>
      <c r="E16" s="30" t="inlineStr">
        <is>
          <t>SEC filings FY21-FY25 (decay caution)</t>
        </is>
      </c>
    </row>
    <row r="17">
      <c r="A17" s="10" t="inlineStr">
        <is>
          <t>BILL (flow != NRR)</t>
        </is>
      </c>
      <c r="B17" s="19" t="inlineStr">
        <is>
          <t>—</t>
        </is>
      </c>
      <c r="C17" s="19" t="inlineStr">
        <is>
          <t>NDR ~92% on ~$292B TPV</t>
        </is>
      </c>
      <c r="D17" s="19" t="inlineStr">
        <is>
          <t>HIGH</t>
        </is>
      </c>
      <c r="E17" s="30" t="inlineStr">
        <is>
          <t>BILL FY2024 (flow lifts ACV, not retention)</t>
        </is>
      </c>
    </row>
    <row r="18">
      <c r="A18" s="10" t="inlineStr">
        <is>
          <t>Toast (flow margin tax)</t>
        </is>
      </c>
      <c r="B18" s="19" t="inlineStr">
        <is>
          <t>—</t>
        </is>
      </c>
      <c r="C18" s="19" t="inlineStr">
        <is>
          <t>~70% software GM -&gt; ~25% blended</t>
        </is>
      </c>
      <c r="D18" s="19" t="inlineStr">
        <is>
          <t>MED</t>
        </is>
      </c>
      <c r="E18" s="30" t="inlineStr">
        <is>
          <t>Toast FY2024 (fence/report flow separately)</t>
        </is>
      </c>
    </row>
    <row r="19">
      <c r="A19" s="10" t="inlineStr">
        <is>
          <t>Foodics (KSA lighthouse)</t>
        </is>
      </c>
      <c r="B19" s="19" t="inlineStr">
        <is>
          <t>—</t>
        </is>
      </c>
      <c r="C19" s="19" t="inlineStr">
        <is>
          <t>$170M Series C (Prosus+Sanabil/PIF)</t>
        </is>
      </c>
      <c r="D19" s="19" t="inlineStr">
        <is>
          <t>HIGH</t>
        </is>
      </c>
      <c r="E19" s="30" t="inlineStr">
        <is>
          <t>Apr 2022; vertical SaaS-&gt;payments-&gt;lending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2026-06-21T10:04:03Z</dcterms:created>
  <dcterms:modified xsi:type="dcterms:W3CDTF">2026-06-21T10:04:03Z</dcterms:modified>
</cp:coreProperties>
</file>