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rivers" sheetId="2" state="visible" r:id="rId2"/>
    <sheet name="Rates" sheetId="3" state="visible" r:id="rId3"/>
    <sheet name="CBS" sheetId="4" state="visible" r:id="rId4"/>
    <sheet name="CostToServe" sheetId="5" state="visible" r:id="rId5"/>
    <sheet name="Packages" sheetId="6" state="visible" r:id="rId6"/>
    <sheet name="PhaseView" sheetId="7" state="visible" r:id="rId7"/>
    <sheet name="Dashboard" sheetId="8" state="visible" r:id="rId8"/>
    <sheet name="Rec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(#,##0.00);-"/>
    <numFmt numFmtId="165" formatCode="#,##0;(#,##0);-"/>
    <numFmt numFmtId="166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1F3864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i val="1"/>
      <color rgb="00000000"/>
      <sz val="10"/>
    </font>
    <font>
      <name val="Arial"/>
      <b val="1"/>
      <color rgb="00008000"/>
      <sz val="10"/>
    </font>
    <font>
      <name val="Arial"/>
      <i val="1"/>
      <color rgb="00595959"/>
      <sz val="10"/>
    </font>
    <font>
      <name val="Arial"/>
      <color rgb="00008000"/>
      <sz val="10"/>
    </font>
    <font>
      <name val="Arial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pivotButton="0" quotePrefix="0" xfId="0"/>
    <xf numFmtId="0" fontId="4" fillId="2" borderId="0" pivotButton="0" quotePrefix="0" xfId="0"/>
    <xf numFmtId="3" fontId="7" fillId="3" borderId="1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3" fontId="7" fillId="0" borderId="1" pivotButton="0" quotePrefix="0" xfId="0"/>
    <xf numFmtId="3" fontId="5" fillId="0" borderId="1" pivotButton="0" quotePrefix="0" xfId="0"/>
    <xf numFmtId="0" fontId="8" fillId="0" borderId="0" applyAlignment="1" pivotButton="0" quotePrefix="0" xfId="0">
      <alignment vertical="top" wrapText="1"/>
    </xf>
    <xf numFmtId="3" fontId="4" fillId="0" borderId="1" pivotButton="0" quotePrefix="0" xfId="0"/>
    <xf numFmtId="164" fontId="7" fillId="0" borderId="1" pivotButton="0" quotePrefix="0" xfId="0"/>
    <xf numFmtId="0" fontId="6" fillId="2" borderId="0" applyAlignment="1" pivotButton="0" quotePrefix="0" xfId="0">
      <alignment vertical="top" wrapText="1"/>
    </xf>
    <xf numFmtId="165" fontId="7" fillId="0" borderId="1" pivotButton="0" quotePrefix="0" xfId="0"/>
    <xf numFmtId="166" fontId="7" fillId="3" borderId="1" pivotButton="0" quotePrefix="0" xfId="0"/>
    <xf numFmtId="165" fontId="4" fillId="0" borderId="1" pivotButton="0" quotePrefix="0" xfId="0"/>
    <xf numFmtId="165" fontId="5" fillId="0" borderId="1" pivotButton="0" quotePrefix="0" xfId="0"/>
    <xf numFmtId="165" fontId="9" fillId="0" borderId="1" pivotButton="0" quotePrefix="0" xfId="0"/>
    <xf numFmtId="166" fontId="4" fillId="0" borderId="1" pivotButton="0" quotePrefix="0" xfId="0"/>
    <xf numFmtId="166" fontId="5" fillId="0" borderId="1" pivotButton="0" quotePrefix="0" xfId="0"/>
    <xf numFmtId="0" fontId="10" fillId="0" borderId="0" applyAlignment="1" pivotButton="0" quotePrefix="0" xfId="0">
      <alignment vertical="top" wrapText="1"/>
    </xf>
    <xf numFmtId="0" fontId="4" fillId="4" borderId="1" pivotButton="0" quotePrefix="0" xfId="0"/>
    <xf numFmtId="0" fontId="4" fillId="3" borderId="1" pivotButton="0" quotePrefix="0" xfId="0"/>
    <xf numFmtId="0" fontId="4" fillId="5" borderId="1" pivotButton="0" quotePrefix="0" xfId="0"/>
    <xf numFmtId="3" fontId="9" fillId="0" borderId="1" pivotButton="0" quotePrefix="0" xfId="0"/>
    <xf numFmtId="0" fontId="5" fillId="6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5" fontId="11" fillId="0" borderId="1" pivotButton="0" quotePrefix="0" xfId="0"/>
    <xf numFmtId="0" fontId="5" fillId="0" borderId="1" applyAlignment="1" pivotButton="0" quotePrefix="0" xfId="0">
      <alignment horizontal="center" vertical="top"/>
    </xf>
    <xf numFmtId="164" fontId="4" fillId="0" borderId="1" pivotButton="0" quotePrefix="0" xfId="0"/>
    <xf numFmtId="0" fontId="10" fillId="0" borderId="0" pivotButton="0" quotePrefix="0" xfId="0"/>
    <xf numFmtId="164" fontId="5" fillId="0" borderId="1" pivotButton="0" quotePrefix="0" xfId="0"/>
    <xf numFmtId="0" fontId="5" fillId="4" borderId="1" pivotButton="0" quotePrefix="0" xfId="0"/>
    <xf numFmtId="0" fontId="1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" customWidth="1" min="1" max="1"/>
    <col width="118" customWidth="1" min="2" max="2"/>
  </cols>
  <sheetData>
    <row r="1">
      <c r="A1" s="1" t="inlineStr">
        <is>
          <t>REVEN — ZERO-BASED COST MODEL (driver-based engine)</t>
        </is>
      </c>
    </row>
    <row r="2">
      <c r="A2" s="2" t="inlineStr">
        <is>
          <t>Partner Revenue OS · companion to Zero_Based_Cost_Architecture.md · SAR · KSA/GCC-calibrated · No-Hallucination</t>
        </is>
      </c>
    </row>
    <row r="4">
      <c r="B4" s="3" t="inlineStr">
        <is>
          <t>PURPOSE:  A live, driver-based cost engine. Set the levers (Drivers) and unit rates (Rates); the workbook</t>
        </is>
      </c>
    </row>
    <row r="5">
      <c r="B5" s="4" t="inlineStr">
        <is>
          <t>computes Cost-of-Revenue, OpEx, cost-to-serve, and blended gross margin vs the &gt;=70% floor, then</t>
        </is>
      </c>
    </row>
    <row r="6">
      <c r="B6" s="4" t="inlineStr">
        <is>
          <t>reconciles the Phase-1 zero-base to the canonical 2,000,000 SAR.</t>
        </is>
      </c>
    </row>
    <row r="8">
      <c r="B8" s="3" t="inlineStr">
        <is>
          <t>EVERY LINE IS JUSTIFIED:  Zero-based rule: no cost exists without a reason. Every driver, rate, cost element, package,</t>
        </is>
      </c>
    </row>
    <row r="9">
      <c r="B9" s="4" t="inlineStr">
        <is>
          <t>and output on every tab carries a plain-English RATIONALE column — read it to know why the line is there.</t>
        </is>
      </c>
    </row>
    <row r="11">
      <c r="B11" s="3" t="inlineStr">
        <is>
          <t>HOW TO USE:  1. Edit only BLUE cells (levers &amp; rates). 2. Yellow = highest-leverage assumptions. 3. Black = formulas,</t>
        </is>
      </c>
    </row>
    <row r="12">
      <c r="B12" s="4" t="inlineStr">
        <is>
          <t>do not overtype. 4. Read outputs on Dashboard. 5. Seeded values are an ILLUSTRATIVE post-revenue scale</t>
        </is>
      </c>
    </row>
    <row r="13">
      <c r="B13" s="4" t="inlineStr">
        <is>
          <t>snapshot to demonstrate the engine — replace with your instrumented data. Pre-seed is zero-revenue (Recon).</t>
        </is>
      </c>
    </row>
    <row r="15">
      <c r="B15" s="3" t="inlineStr">
        <is>
          <t>FLAG LEGEND:  Blue = editable input · Black = formula · Green = headline cross-sheet pull · Yellow fill = key assumption ·</t>
        </is>
      </c>
    </row>
    <row r="16">
      <c r="B16" s="4" t="inlineStr">
        <is>
          <t>Green fill = PASS · Red fill = breach/attention · 📊 = benchmark-to-validate · verify = statutory, confirm before filing.</t>
        </is>
      </c>
    </row>
    <row r="18">
      <c r="B18" s="3" t="inlineStr">
        <is>
          <t>VALIDATION:  Every rate is a benchmark-to-validate (quote/instrument before trusting). Nothing overrides a canonical</t>
        </is>
      </c>
    </row>
    <row r="19">
      <c r="B19" s="4" t="inlineStr">
        <is>
          <t>fact; the 2,000,000 SAR round is preserved on Recon. Statutory rates per Founder Questionnaire Part 3.</t>
        </is>
      </c>
    </row>
    <row r="21">
      <c r="B21" s="3" t="inlineStr">
        <is>
          <t>TABS:  Drivers · Rates · CBS · CostToServe · Packages · PhaseView · Dashboard · Recon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5" customWidth="1" min="3" max="3"/>
    <col width="6" customWidth="1" min="4" max="4"/>
    <col width="66" customWidth="1" min="5" max="5"/>
  </cols>
  <sheetData>
    <row r="1">
      <c r="A1" s="1" t="inlineStr">
        <is>
          <t>DRIVERS — business-volume levers (edit the blue cells)</t>
        </is>
      </c>
    </row>
    <row r="2">
      <c r="A2" s="2" t="inlineStr">
        <is>
          <t>Illustrative scale snapshot. Every downstream cost scales from these. Rationale = why the lever matters.</t>
        </is>
      </c>
    </row>
    <row r="4">
      <c r="A4" s="5" t="inlineStr">
        <is>
          <t>Lever</t>
        </is>
      </c>
      <c r="B4" s="5" t="inlineStr">
        <is>
          <t>Value</t>
        </is>
      </c>
      <c r="C4" s="5" t="inlineStr">
        <is>
          <t>Unit</t>
        </is>
      </c>
      <c r="D4" s="5" t="inlineStr">
        <is>
          <t>Flag</t>
        </is>
      </c>
      <c r="E4" s="5" t="inlineStr">
        <is>
          <t>Rationale (plain English)</t>
        </is>
      </c>
    </row>
    <row r="5">
      <c r="A5" s="6" t="inlineStr">
        <is>
          <t>PHASE TOGGLE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4" t="inlineStr">
        <is>
          <t>Product phase (1=Capture, 2=Settle, 3=Orchestrate)</t>
        </is>
      </c>
      <c r="B6" s="8" t="n">
        <v>2</v>
      </c>
      <c r="C6" s="9" t="inlineStr">
        <is>
          <t>phase</t>
        </is>
      </c>
      <c r="D6" s="4" t="inlineStr">
        <is>
          <t>🟢</t>
        </is>
      </c>
      <c r="E6" s="10" t="inlineStr">
        <is>
          <t>Gates rails/settlement cost: none of it exists before the Settle gate, so the model switches it on only at phase &gt;= 2.</t>
        </is>
      </c>
    </row>
    <row r="7">
      <c r="A7" s="6" t="inlineStr">
        <is>
          <t>CUSTOMERS BY TIER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4" t="inlineStr">
        <is>
          <t>SME (Reven Start)</t>
        </is>
      </c>
      <c r="B8" s="11" t="n">
        <v>100</v>
      </c>
      <c r="C8" s="9" t="inlineStr">
        <is>
          <t>customers</t>
        </is>
      </c>
      <c r="D8" s="4" t="inlineStr">
        <is>
          <t>🟢</t>
        </is>
      </c>
      <c r="E8" s="10" t="inlineStr">
        <is>
          <t>Land-wedge logos at SAR 50/mo; near-zero cost-to-serve, so this count is about expansion, not margin.</t>
        </is>
      </c>
    </row>
    <row r="9">
      <c r="A9" s="4" t="inlineStr">
        <is>
          <t>SMB (Growth)</t>
        </is>
      </c>
      <c r="B9" s="11" t="n">
        <v>20</v>
      </c>
      <c r="C9" s="9" t="inlineStr">
        <is>
          <t>customers</t>
        </is>
      </c>
      <c r="D9" s="4" t="inlineStr">
        <is>
          <t>🟢</t>
        </is>
      </c>
      <c r="E9" s="10" t="inlineStr">
        <is>
          <t>First revenue-bearing tier; a growing channel that has outgrown spreadsheets.</t>
        </is>
      </c>
    </row>
    <row r="10">
      <c r="A10" s="4" t="inlineStr">
        <is>
          <t>Mid-market</t>
        </is>
      </c>
      <c r="B10" s="11" t="n">
        <v>8</v>
      </c>
      <c r="C10" s="9" t="inlineStr">
        <is>
          <t>customers</t>
        </is>
      </c>
      <c r="D10" s="4" t="inlineStr">
        <is>
          <t>🟢</t>
        </is>
      </c>
      <c r="E10" s="10" t="inlineStr">
        <is>
          <t>Finance-grade buyers with material partner-attributed revenue; healthy margin.</t>
        </is>
      </c>
    </row>
    <row r="11">
      <c r="A11" s="4" t="inlineStr">
        <is>
          <t>Semi-government</t>
        </is>
      </c>
      <c r="B11" s="11" t="n">
        <v>2</v>
      </c>
      <c r="C11" s="9" t="inlineStr">
        <is>
          <t>customers</t>
        </is>
      </c>
      <c r="D11" s="4" t="inlineStr">
        <is>
          <t>🟢</t>
        </is>
      </c>
      <c r="E11" s="10" t="inlineStr">
        <is>
          <t>Vision-2030 entities; carry a residency/sovereignty premium priced to absorb its cost.</t>
        </is>
      </c>
    </row>
    <row r="12">
      <c r="A12" s="4" t="inlineStr">
        <is>
          <t>Large enterprise</t>
        </is>
      </c>
      <c r="B12" s="11" t="n">
        <v>3</v>
      </c>
      <c r="C12" s="9" t="inlineStr">
        <is>
          <t>customers</t>
        </is>
      </c>
      <c r="D12" s="4" t="inlineStr">
        <is>
          <t>🟢</t>
        </is>
      </c>
      <c r="E12" s="10" t="inlineStr">
        <is>
          <t>Multi-entity/high-volume ecosystems; high partner counts, priced to clear the floor including drag.</t>
        </is>
      </c>
    </row>
    <row r="13">
      <c r="A13" s="5" t="inlineStr">
        <is>
          <t>Total customers</t>
        </is>
      </c>
      <c r="B13" s="12">
        <f>SUM(B8:B12)</f>
        <v>133</v>
      </c>
      <c r="E13" s="10" t="inlineStr">
        <is>
          <t>Sums the tier counts — the base for every per-customer cost.</t>
        </is>
      </c>
    </row>
    <row r="15">
      <c r="A15" s="6" t="inlineStr">
        <is>
          <t>AVG ACTIVE (TRANSACTING) PARTNERS PER CUSTOMER, BY TIER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4" t="inlineStr">
        <is>
          <t>SME (Reven Start)</t>
        </is>
      </c>
      <c r="B16" s="11" t="n">
        <v>8</v>
      </c>
      <c r="C16" s="9" t="inlineStr">
        <is>
          <t>partners/cust</t>
        </is>
      </c>
      <c r="D16" s="4" t="inlineStr">
        <is>
          <t>🟢</t>
        </is>
      </c>
      <c r="E16" s="10" t="inlineStr">
        <is>
          <t>Active partners is the pricing metric AND the main cost driver; larger programs cost more to run.</t>
        </is>
      </c>
    </row>
    <row r="17">
      <c r="A17" s="4" t="inlineStr">
        <is>
          <t>SMB (Growth)</t>
        </is>
      </c>
      <c r="B17" s="11" t="n">
        <v>40</v>
      </c>
      <c r="C17" s="9" t="inlineStr">
        <is>
          <t>partners/cust</t>
        </is>
      </c>
      <c r="D17" s="4" t="inlineStr">
        <is>
          <t>🟢</t>
        </is>
      </c>
      <c r="E17" s="10" t="inlineStr">
        <is>
          <t>Active partners is the pricing metric AND the main cost driver; larger programs cost more to run.</t>
        </is>
      </c>
    </row>
    <row r="18">
      <c r="A18" s="4" t="inlineStr">
        <is>
          <t>Mid-market</t>
        </is>
      </c>
      <c r="B18" s="11" t="n">
        <v>120</v>
      </c>
      <c r="C18" s="9" t="inlineStr">
        <is>
          <t>partners/cust</t>
        </is>
      </c>
      <c r="D18" s="4" t="inlineStr">
        <is>
          <t>🟢</t>
        </is>
      </c>
      <c r="E18" s="10" t="inlineStr">
        <is>
          <t>Active partners is the pricing metric AND the main cost driver; larger programs cost more to run.</t>
        </is>
      </c>
    </row>
    <row r="19">
      <c r="A19" s="4" t="inlineStr">
        <is>
          <t>Semi-government</t>
        </is>
      </c>
      <c r="B19" s="11" t="n">
        <v>300</v>
      </c>
      <c r="C19" s="9" t="inlineStr">
        <is>
          <t>partners/cust</t>
        </is>
      </c>
      <c r="D19" s="4" t="inlineStr">
        <is>
          <t>🟢</t>
        </is>
      </c>
      <c r="E19" s="10" t="inlineStr">
        <is>
          <t>Active partners is the pricing metric AND the main cost driver; larger programs cost more to run.</t>
        </is>
      </c>
    </row>
    <row r="20">
      <c r="A20" s="4" t="inlineStr">
        <is>
          <t>Large enterprise</t>
        </is>
      </c>
      <c r="B20" s="11" t="n">
        <v>500</v>
      </c>
      <c r="C20" s="9" t="inlineStr">
        <is>
          <t>partners/cust</t>
        </is>
      </c>
      <c r="D20" s="4" t="inlineStr">
        <is>
          <t>🟢</t>
        </is>
      </c>
      <c r="E20" s="10" t="inlineStr">
        <is>
          <t>Active partners is the pricing metric AND the main cost driver; larger programs cost more to run.</t>
        </is>
      </c>
    </row>
    <row r="21">
      <c r="A21" s="5" t="inlineStr">
        <is>
          <t>Total active partners</t>
        </is>
      </c>
      <c r="B21" s="12">
        <f>SUMPRODUCT(B8:B12,B16:B20)</f>
        <v>4660</v>
      </c>
      <c r="E21" s="10" t="inlineStr">
        <is>
          <t>The single biggest CoR driver — most infrastructure scales with partners, not seats.</t>
        </is>
      </c>
    </row>
    <row r="23">
      <c r="A23" s="6" t="inlineStr">
        <is>
          <t>THROUGHPUT &amp; VOLUME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4" t="inlineStr">
        <is>
          <t>Claims / revenue events per active partner / month</t>
        </is>
      </c>
      <c r="B24" s="11" t="n">
        <v>2</v>
      </c>
      <c r="C24" s="9" t="inlineStr">
        <is>
          <t>events</t>
        </is>
      </c>
      <c r="D24" s="4" t="inlineStr">
        <is>
          <t>🟢</t>
        </is>
      </c>
      <c r="E24" s="10" t="inlineStr">
        <is>
          <t>Throughput that drives inference, storage and compute — the variable heart of cost-of-revenue.</t>
        </is>
      </c>
    </row>
    <row r="25">
      <c r="A25" s="13" t="inlineStr">
        <is>
          <t xml:space="preserve">  → Total claims / month</t>
        </is>
      </c>
      <c r="B25" s="14">
        <f>B21*B24</f>
        <v>9320</v>
      </c>
      <c r="E25" s="10">
        <f> partners × claims; the total volume the platform processes each month.</f>
        <v/>
      </c>
    </row>
    <row r="26">
      <c r="A26" s="4" t="inlineStr">
        <is>
          <t>Payouts per active partner / month (Phase &gt;=2)</t>
        </is>
      </c>
      <c r="B26" s="11" t="n">
        <v>1</v>
      </c>
      <c r="C26" s="9" t="inlineStr">
        <is>
          <t>payouts</t>
        </is>
      </c>
      <c r="D26" s="4" t="inlineStr">
        <is>
          <t>🟢</t>
        </is>
      </c>
      <c r="E26" s="10" t="inlineStr">
        <is>
          <t>Only exists in the Settle phase; drives money-movement rail cost.</t>
        </is>
      </c>
    </row>
    <row r="27">
      <c r="A27" s="13" t="inlineStr">
        <is>
          <t xml:space="preserve">  → Total payouts / month</t>
        </is>
      </c>
      <c r="B27" s="14">
        <f>IF(B6&gt;=2,B21*B26,0)</f>
        <v>4660</v>
      </c>
      <c r="E27" s="10" t="inlineStr">
        <is>
          <t>Forced to zero until phase &gt;= 2 — enforces phase discipline in the cost model.</t>
        </is>
      </c>
    </row>
    <row r="28">
      <c r="A28" s="4" t="inlineStr">
        <is>
          <t>Evidence storage retained (GB, monotonic)</t>
        </is>
      </c>
      <c r="B28" s="11" t="n">
        <v>5000</v>
      </c>
      <c r="C28" s="9" t="inlineStr">
        <is>
          <t>GB</t>
        </is>
      </c>
      <c r="D28" s="4" t="inlineStr">
        <is>
          <t>🟢</t>
        </is>
      </c>
      <c r="E28" s="10" t="inlineStr">
        <is>
          <t>The evidence store only grows; without tiering this bill compounds forever — model the ratchet.</t>
        </is>
      </c>
    </row>
    <row r="29">
      <c r="A29" s="4" t="inlineStr">
        <is>
          <t>Residency (L2) tenants</t>
        </is>
      </c>
      <c r="B29" s="11" t="n">
        <v>3</v>
      </c>
      <c r="C29" s="9" t="inlineStr">
        <is>
          <t>tenants</t>
        </is>
      </c>
      <c r="D29" s="4" t="inlineStr">
        <is>
          <t>🟢</t>
        </is>
      </c>
      <c r="E29" s="10" t="inlineStr">
        <is>
          <t>Each in-Kingdom/dedicated tenant carries a fixed premium — the GCC wedge incumbents can't retrofit.</t>
        </is>
      </c>
    </row>
    <row r="30">
      <c r="A30" s="4" t="inlineStr">
        <is>
          <t>Support tickets per NON-SME customer / month</t>
        </is>
      </c>
      <c r="B30" s="15" t="n">
        <v>3</v>
      </c>
      <c r="C30" s="9" t="inlineStr">
        <is>
          <t>tickets</t>
        </is>
      </c>
      <c r="D30" s="4" t="inlineStr">
        <is>
          <t>🟢</t>
        </is>
      </c>
      <c r="E30" s="10" t="inlineStr">
        <is>
          <t>Human support is real COGS; SME is excluded because it must be fully self-serve (~0 human touch).</t>
        </is>
      </c>
    </row>
    <row r="31">
      <c r="A31" s="13" t="inlineStr">
        <is>
          <t xml:space="preserve">  → Non-SME customers</t>
        </is>
      </c>
      <c r="B31" s="14">
        <f>SUM(B9:B12)</f>
        <v>33</v>
      </c>
      <c r="E31" s="10" t="inlineStr">
        <is>
          <t>The population that generates support tickets (SME deflects to self-serve).</t>
        </is>
      </c>
    </row>
    <row r="32">
      <c r="A32" s="13" t="inlineStr">
        <is>
          <t xml:space="preserve">  → Total support tickets / month</t>
        </is>
      </c>
      <c r="B32" s="14">
        <f>B31*B30</f>
        <v>99</v>
      </c>
      <c r="E32" s="10">
        <f> non-SME customers × tickets each; the load Tier-1 support must absorb.</f>
        <v/>
      </c>
    </row>
    <row r="33">
      <c r="A33" s="4" t="inlineStr">
        <is>
          <t>Onboardings / month</t>
        </is>
      </c>
      <c r="B33" s="11" t="n">
        <v>4</v>
      </c>
      <c r="C33" s="9" t="inlineStr">
        <is>
          <t>onboardings</t>
        </is>
      </c>
      <c r="D33" s="4" t="inlineStr">
        <is>
          <t>🟢</t>
        </is>
      </c>
      <c r="E33" s="10" t="inlineStr">
        <is>
          <t>Drives implementation (services) cost, which is fenced separately from subscription margin.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5" customWidth="1" min="3" max="3"/>
    <col width="6" customWidth="1" min="4" max="4"/>
    <col width="66" customWidth="1" min="5" max="5"/>
  </cols>
  <sheetData>
    <row r="1">
      <c r="A1" s="1" t="inlineStr">
        <is>
          <t>RATES — unit rates &amp; should-cost baselines (edit the blue cells)</t>
        </is>
      </c>
    </row>
    <row r="2">
      <c r="A2" s="2" t="inlineStr">
        <is>
          <t>📊 benchmark-to-validate: replace with vendor quotes / instrumented actuals. Statutory = verify.</t>
        </is>
      </c>
    </row>
    <row r="4">
      <c r="A4" s="16" t="inlineStr">
        <is>
          <t>A. COST-OF-REVENUE UNIT RATES (SAR)</t>
        </is>
      </c>
      <c r="B4" s="16" t="inlineStr">
        <is>
          <t>Rate</t>
        </is>
      </c>
      <c r="C4" s="16" t="inlineStr">
        <is>
          <t>Unit</t>
        </is>
      </c>
      <c r="D4" s="16" t="inlineStr">
        <is>
          <t>Flag</t>
        </is>
      </c>
      <c r="E4" s="16" t="inlineStr">
        <is>
          <t>Rationale (plain English)</t>
        </is>
      </c>
      <c r="F4" s="7" t="n"/>
      <c r="G4" s="7" t="n"/>
      <c r="H4" s="7" t="n"/>
    </row>
    <row r="5">
      <c r="A5" s="4" t="inlineStr">
        <is>
          <t>Cloud base per customer / month</t>
        </is>
      </c>
      <c r="B5" s="15" t="n">
        <v>40</v>
      </c>
      <c r="C5" s="9" t="inlineStr">
        <is>
          <t>per cust/mo</t>
        </is>
      </c>
      <c r="D5" s="4" t="inlineStr">
        <is>
          <t>📊</t>
        </is>
      </c>
      <c r="E5" s="10" t="inlineStr">
        <is>
          <t>The always-on footprint every tenant consumes even at zero activity.</t>
        </is>
      </c>
    </row>
    <row r="6">
      <c r="A6" s="4" t="inlineStr">
        <is>
          <t>Cloud per active partner / month</t>
        </is>
      </c>
      <c r="B6" s="15" t="n">
        <v>3</v>
      </c>
      <c r="C6" s="9" t="inlineStr">
        <is>
          <t>per partner/mo</t>
        </is>
      </c>
      <c r="D6" s="4" t="inlineStr">
        <is>
          <t>📊</t>
        </is>
      </c>
      <c r="E6" s="10" t="inlineStr">
        <is>
          <t>Compute/storage scales with active partners — the dominant variable infra cost.</t>
        </is>
      </c>
    </row>
    <row r="7">
      <c r="A7" s="4" t="inlineStr">
        <is>
          <t>Compute + inference per claim (capped)</t>
        </is>
      </c>
      <c r="B7" s="15" t="n">
        <v>0.5</v>
      </c>
      <c r="C7" s="9" t="inlineStr">
        <is>
          <t>per claim</t>
        </is>
      </c>
      <c r="D7" s="4" t="inlineStr">
        <is>
          <t>📊</t>
        </is>
      </c>
      <c r="E7" s="10" t="inlineStr">
        <is>
          <t>Each claim is processed and AI-assisted; capped so AI can never blow up COGS.</t>
        </is>
      </c>
    </row>
    <row r="8">
      <c r="A8" s="4" t="inlineStr">
        <is>
          <t>Object storage (evidence) per GB / month</t>
        </is>
      </c>
      <c r="B8" s="15" t="n">
        <v>0.9</v>
      </c>
      <c r="C8" s="9" t="inlineStr">
        <is>
          <t>per GB/mo</t>
        </is>
      </c>
      <c r="D8" s="4" t="inlineStr">
        <is>
          <t>📊</t>
        </is>
      </c>
      <c r="E8" s="10" t="inlineStr">
        <is>
          <t>Evidence retention is monotonic; unit cost × GB is the storage bill — tier it.</t>
        </is>
      </c>
    </row>
    <row r="9">
      <c r="A9" s="4" t="inlineStr">
        <is>
          <t>KYB/AML per active partner / month (amortized)</t>
        </is>
      </c>
      <c r="B9" s="15" t="n">
        <v>1</v>
      </c>
      <c r="C9" s="9" t="inlineStr">
        <is>
          <t>per partner/mo</t>
        </is>
      </c>
      <c r="D9" s="4" t="inlineStr">
        <is>
          <t>📊</t>
        </is>
      </c>
      <c r="E9" s="10" t="inlineStr">
        <is>
          <t>Every partner is verified once for compliance; amortized to a monthly rate here.</t>
        </is>
      </c>
    </row>
    <row r="10">
      <c r="A10" s="4" t="inlineStr">
        <is>
          <t>e-signature per claim</t>
        </is>
      </c>
      <c r="B10" s="15" t="n">
        <v>0.3</v>
      </c>
      <c r="C10" s="9" t="inlineStr">
        <is>
          <t>per claim</t>
        </is>
      </c>
      <c r="D10" s="4" t="inlineStr">
        <is>
          <t>📊</t>
        </is>
      </c>
      <c r="E10" s="10" t="inlineStr">
        <is>
          <t>Executing claims/contracts runs through a paid third-party signing rail.</t>
        </is>
      </c>
    </row>
    <row r="11">
      <c r="A11" s="4" t="inlineStr">
        <is>
          <t>Payout rail per payout (Phase &gt;=2)</t>
        </is>
      </c>
      <c r="B11" s="15" t="n">
        <v>2</v>
      </c>
      <c r="C11" s="9" t="inlineStr">
        <is>
          <t>per payout</t>
        </is>
      </c>
      <c r="D11" s="4" t="inlineStr">
        <is>
          <t>📊</t>
        </is>
      </c>
      <c r="E11" s="10" t="inlineStr">
        <is>
          <t>Moving money costs per payout — but only after the Settle gate opens.</t>
        </is>
      </c>
    </row>
    <row r="12">
      <c r="A12" s="4" t="inlineStr">
        <is>
          <t>ZATCA e-invoicing per customer / month</t>
        </is>
      </c>
      <c r="B12" s="15" t="n">
        <v>0.5</v>
      </c>
      <c r="C12" s="9" t="inlineStr">
        <is>
          <t>per cust/mo</t>
        </is>
      </c>
      <c r="D12" s="4" t="inlineStr">
        <is>
          <t>📊</t>
        </is>
      </c>
      <c r="E12" s="10" t="inlineStr">
        <is>
          <t>Saudi e-invoicing is law; a per-billed-customer integration cost.</t>
        </is>
      </c>
    </row>
    <row r="13">
      <c r="A13" s="4" t="inlineStr">
        <is>
          <t>Notifications per claim</t>
        </is>
      </c>
      <c r="B13" s="15" t="n">
        <v>0.1</v>
      </c>
      <c r="C13" s="9" t="inlineStr">
        <is>
          <t>per claim</t>
        </is>
      </c>
      <c r="D13" s="4" t="inlineStr">
        <is>
          <t>📊</t>
        </is>
      </c>
      <c r="E13" s="10" t="inlineStr">
        <is>
          <t>Every event notifies partners/customers; small but volume-scaled.</t>
        </is>
      </c>
    </row>
    <row r="14">
      <c r="A14" s="4" t="inlineStr">
        <is>
          <t>Security &amp; compliance runtime — fixed / month</t>
        </is>
      </c>
      <c r="B14" s="15" t="n">
        <v>8000</v>
      </c>
      <c r="C14" s="9" t="inlineStr">
        <is>
          <t>SAR/mo</t>
        </is>
      </c>
      <c r="D14" s="4" t="inlineStr">
        <is>
          <t>📊</t>
        </is>
      </c>
      <c r="E14" s="10" t="inlineStr">
        <is>
          <t>WAF/SIEM/audit baseline; cutting it loses the enterprise/gov sale — a false economy.</t>
        </is>
      </c>
    </row>
    <row r="15">
      <c r="A15" s="4" t="inlineStr">
        <is>
          <t>Residency premium per L2 tenant / month</t>
        </is>
      </c>
      <c r="B15" s="15" t="n">
        <v>1500</v>
      </c>
      <c r="C15" s="9" t="inlineStr">
        <is>
          <t>per tenant/mo</t>
        </is>
      </c>
      <c r="D15" s="4" t="inlineStr">
        <is>
          <t>📊</t>
        </is>
      </c>
      <c r="E15" s="10" t="inlineStr">
        <is>
          <t>Incremental cost of in-Kingdom/dedicated tenancy per sovereign tenant.</t>
        </is>
      </c>
    </row>
    <row r="16">
      <c r="A16" s="4" t="inlineStr">
        <is>
          <t>Support — loaded SAR per ticket</t>
        </is>
      </c>
      <c r="B16" s="15" t="n">
        <v>45</v>
      </c>
      <c r="C16" s="9" t="inlineStr">
        <is>
          <t>per ticket</t>
        </is>
      </c>
      <c r="D16" s="4" t="inlineStr">
        <is>
          <t>📊</t>
        </is>
      </c>
      <c r="E16" s="10" t="inlineStr">
        <is>
          <t>Fully-loaded human cost per ticket; self-serve deflection is what keeps this small.</t>
        </is>
      </c>
    </row>
    <row r="18">
      <c r="A18" s="6" t="inlineStr">
        <is>
          <t>B. CUSTOMER SUCCESS — loaded SAR per account / month, by tier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4" t="inlineStr">
        <is>
          <t>SME</t>
        </is>
      </c>
      <c r="B19" s="17" t="n">
        <v>0</v>
      </c>
      <c r="C19" s="9" t="inlineStr">
        <is>
          <t>per account/mo</t>
        </is>
      </c>
      <c r="D19" s="4" t="inlineStr">
        <is>
          <t>📊</t>
        </is>
      </c>
      <c r="E19" s="10" t="inlineStr">
        <is>
          <t>None — SME must be self-serve; any human touch erases a year's revenue.</t>
        </is>
      </c>
    </row>
    <row r="20">
      <c r="A20" s="4" t="inlineStr">
        <is>
          <t>SMB</t>
        </is>
      </c>
      <c r="B20" s="17" t="n">
        <v>200</v>
      </c>
      <c r="C20" s="9" t="inlineStr">
        <is>
          <t>per account/mo</t>
        </is>
      </c>
      <c r="D20" s="4" t="inlineStr">
        <is>
          <t>📊</t>
        </is>
      </c>
      <c r="E20" s="10" t="inlineStr">
        <is>
          <t>Pooled CSM; light touch to protect early retention.</t>
        </is>
      </c>
    </row>
    <row r="21">
      <c r="A21" s="4" t="inlineStr">
        <is>
          <t>Mid-market</t>
        </is>
      </c>
      <c r="B21" s="17" t="n">
        <v>800</v>
      </c>
      <c r="C21" s="9" t="inlineStr">
        <is>
          <t>per account/mo</t>
        </is>
      </c>
      <c r="D21" s="4" t="inlineStr">
        <is>
          <t>📊</t>
        </is>
      </c>
      <c r="E21" s="10" t="inlineStr">
        <is>
          <t>Named CSM; finance/legal stakeholders need managing.</t>
        </is>
      </c>
    </row>
    <row r="22">
      <c r="A22" s="4" t="inlineStr">
        <is>
          <t>Semi-government</t>
        </is>
      </c>
      <c r="B22" s="17" t="n">
        <v>2500</v>
      </c>
      <c r="C22" s="9" t="inlineStr">
        <is>
          <t>per account/mo</t>
        </is>
      </c>
      <c r="D22" s="4" t="inlineStr">
        <is>
          <t>📊</t>
        </is>
      </c>
      <c r="E22" s="10" t="inlineStr">
        <is>
          <t>Dedicated CSM + solution architect; procurement-heavy relationships.</t>
        </is>
      </c>
    </row>
    <row r="23">
      <c r="A23" s="4" t="inlineStr">
        <is>
          <t>Large enterprise</t>
        </is>
      </c>
      <c r="B23" s="17" t="n">
        <v>2000</v>
      </c>
      <c r="C23" s="9" t="inlineStr">
        <is>
          <t>per account/mo</t>
        </is>
      </c>
      <c r="D23" s="4" t="inlineStr">
        <is>
          <t>📊</t>
        </is>
      </c>
      <c r="E23" s="10" t="inlineStr">
        <is>
          <t>Dedicated CSM; multi-entity coordination.</t>
        </is>
      </c>
    </row>
    <row r="25">
      <c r="A25" s="6" t="inlineStr">
        <is>
          <t>C. PROFESSIONAL SERVICES (fenced &lt; 20% of revenue)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4" t="inlineStr">
        <is>
          <t>Implementation fee per onboarding (services revenue)</t>
        </is>
      </c>
      <c r="B26" s="17" t="n">
        <v>30000</v>
      </c>
      <c r="C26" s="9" t="inlineStr">
        <is>
          <t>per onboarding</t>
        </is>
      </c>
      <c r="D26" s="4" t="inlineStr">
        <is>
          <t>📊</t>
        </is>
      </c>
      <c r="E26" s="10" t="inlineStr">
        <is>
          <t>One-time services revenue to get a customer live; fenced so it doesn't dilute the software story.</t>
        </is>
      </c>
    </row>
    <row r="27">
      <c r="A27" s="4" t="inlineStr">
        <is>
          <t>Implementation loaded delivery cost per onboarding (services COGS)</t>
        </is>
      </c>
      <c r="B27" s="17" t="n">
        <v>25000</v>
      </c>
      <c r="C27" s="9" t="inlineStr">
        <is>
          <t>per onboarding</t>
        </is>
      </c>
      <c r="D27" s="4" t="inlineStr">
        <is>
          <t>📊</t>
        </is>
      </c>
      <c r="E27" s="10" t="inlineStr">
        <is>
          <t>Loaded delivery cost; sits in COGS, not CAC — and should trend to SI partners over time.</t>
        </is>
      </c>
    </row>
    <row r="29">
      <c r="A29" s="6" t="inlineStr">
        <is>
          <t>D. SUBSCRIPTION ACV PER CUSTOMER / YEAR, BY TIER (📊 from pricing exec summary)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4" t="inlineStr">
        <is>
          <t>SME</t>
        </is>
      </c>
      <c r="B30" s="17" t="n">
        <v>1200</v>
      </c>
      <c r="C30" s="9" t="inlineStr">
        <is>
          <t>SAR/yr</t>
        </is>
      </c>
      <c r="D30" s="4" t="inlineStr">
        <is>
          <t>📊</t>
        </is>
      </c>
      <c r="E30" s="10" t="inlineStr">
        <is>
          <t>~SAR 600–1,788/yr band; a frictionless micro-price wedge.</t>
        </is>
      </c>
    </row>
    <row r="31">
      <c r="A31" s="4" t="inlineStr">
        <is>
          <t>SMB</t>
        </is>
      </c>
      <c r="B31" s="17" t="n">
        <v>100000</v>
      </c>
      <c r="C31" s="9" t="inlineStr">
        <is>
          <t>SAR/yr</t>
        </is>
      </c>
      <c r="D31" s="4" t="inlineStr">
        <is>
          <t>📊</t>
        </is>
      </c>
      <c r="E31" s="10" t="inlineStr">
        <is>
          <t>SAR 67–150K band; clears the ~SAR 95–110K high-touch floor.</t>
        </is>
      </c>
    </row>
    <row r="32">
      <c r="A32" s="4" t="inlineStr">
        <is>
          <t>Mid-market</t>
        </is>
      </c>
      <c r="B32" s="17" t="n">
        <v>300000</v>
      </c>
      <c r="C32" s="9" t="inlineStr">
        <is>
          <t>SAR/yr</t>
        </is>
      </c>
      <c r="D32" s="4" t="inlineStr">
        <is>
          <t>📊</t>
        </is>
      </c>
      <c r="E32" s="10" t="inlineStr">
        <is>
          <t>SAR 188–450K band; finance-grade attribution buyer.</t>
        </is>
      </c>
    </row>
    <row r="33">
      <c r="A33" s="4" t="inlineStr">
        <is>
          <t>Semi-government</t>
        </is>
      </c>
      <c r="B33" s="17" t="n">
        <v>1200000</v>
      </c>
      <c r="C33" s="9" t="inlineStr">
        <is>
          <t>SAR/yr</t>
        </is>
      </c>
      <c r="D33" s="4" t="inlineStr">
        <is>
          <t>📊</t>
        </is>
      </c>
      <c r="E33" s="10" t="inlineStr">
        <is>
          <t>SAR 600K–2.5M+; sovereignty + audit mandates, custom-quoted.</t>
        </is>
      </c>
    </row>
    <row r="34">
      <c r="A34" s="4" t="inlineStr">
        <is>
          <t>Large enterprise</t>
        </is>
      </c>
      <c r="B34" s="17" t="n">
        <v>900000</v>
      </c>
      <c r="C34" s="9" t="inlineStr">
        <is>
          <t>SAR/yr</t>
        </is>
      </c>
      <c r="D34" s="4" t="inlineStr">
        <is>
          <t>📊</t>
        </is>
      </c>
      <c r="E34" s="10" t="inlineStr">
        <is>
          <t>SAR 560K–1.9M+; multi-entity/multi-country ecosystems.</t>
        </is>
      </c>
    </row>
    <row r="36">
      <c r="A36" s="6" t="inlineStr">
        <is>
          <t>E. LABOR &amp; OPEX (monthly)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4" t="inlineStr">
        <is>
          <t>Blended statutory burden % (GOSI+EOSB+medical+levy)</t>
        </is>
      </c>
      <c r="B37" s="18" t="n">
        <v>0.2</v>
      </c>
      <c r="C37" s="9" t="inlineStr">
        <is>
          <t>of base</t>
        </is>
      </c>
      <c r="D37" s="4" t="inlineStr">
        <is>
          <t>verify</t>
        </is>
      </c>
      <c r="E37" s="10" t="inlineStr">
        <is>
          <t>Uplift on base pay for statutory employer costs; law, not a choice — verify current rates before filing.</t>
        </is>
      </c>
    </row>
    <row r="38">
      <c r="A38" s="5" t="inlineStr">
        <is>
          <t>Function</t>
        </is>
      </c>
      <c r="B38" s="5" t="inlineStr">
        <is>
          <t>Headcount</t>
        </is>
      </c>
      <c r="C38" s="5" t="inlineStr">
        <is>
          <t>Base/head</t>
        </is>
      </c>
      <c r="D38" s="5" t="inlineStr">
        <is>
          <t>Loaded/mo</t>
        </is>
      </c>
      <c r="E38" s="5" t="inlineStr">
        <is>
          <t>Rationale</t>
        </is>
      </c>
    </row>
    <row r="39">
      <c r="A39" s="4" t="inlineStr">
        <is>
          <t>R&amp;D (eng/product/design)</t>
        </is>
      </c>
      <c r="B39" s="11" t="n">
        <v>8</v>
      </c>
      <c r="C39" s="17" t="n">
        <v>18333</v>
      </c>
      <c r="D39" s="19">
        <f>B39*C39*(1+$B$37)</f>
        <v>175996.8</v>
      </c>
      <c r="E39" s="10" t="inlineStr">
        <is>
          <t>Builds the product itself — protect this; it is the durable asset.</t>
        </is>
      </c>
    </row>
    <row r="40">
      <c r="A40" s="4" t="inlineStr">
        <is>
          <t>S&amp;M (quota + SE)</t>
        </is>
      </c>
      <c r="B40" s="11" t="n">
        <v>5</v>
      </c>
      <c r="C40" s="17" t="n">
        <v>16667</v>
      </c>
      <c r="D40" s="19">
        <f>B40*C40*(1+$B$37)</f>
        <v>100002</v>
      </c>
      <c r="E40" s="10" t="inlineStr">
        <is>
          <t>Capacity that closes revenue; fund productive capacity, gate adds on efficiency.</t>
        </is>
      </c>
    </row>
    <row r="41">
      <c r="A41" s="4" t="inlineStr">
        <is>
          <t>G&amp;A (fin/legal/HR/IT)</t>
        </is>
      </c>
      <c r="B41" s="11" t="n">
        <v>4</v>
      </c>
      <c r="C41" s="17" t="n">
        <v>15000</v>
      </c>
      <c r="D41" s="19">
        <f>B41*C41*(1+$B$37)</f>
        <v>72000</v>
      </c>
      <c r="E41" s="10" t="inlineStr">
        <is>
          <t>Runs the company; aggressive ZBB target — should grow slower than revenue.</t>
        </is>
      </c>
    </row>
    <row r="42">
      <c r="A42" s="4" t="inlineStr">
        <is>
          <t>Founders &amp; leadership</t>
        </is>
      </c>
      <c r="B42" s="11" t="n">
        <v>4</v>
      </c>
      <c r="C42" s="17" t="n">
        <v>12500</v>
      </c>
      <c r="D42" s="19">
        <f>B42*C42*(1+$B$37)</f>
        <v>60000</v>
      </c>
      <c r="E42" s="10" t="inlineStr">
        <is>
          <t>Below-market founder cash comp; the core team (~88% of pre-seed is people).</t>
        </is>
      </c>
    </row>
    <row r="44">
      <c r="A44" s="6" t="inlineStr">
        <is>
          <t>F. NON-LABOR OPEX (monthly)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4" t="inlineStr">
        <is>
          <t>Demand generation (S&amp;M)</t>
        </is>
      </c>
      <c r="B45" s="17" t="n">
        <v>40000</v>
      </c>
      <c r="C45" s="9" t="inlineStr">
        <is>
          <t>SAR/mo</t>
        </is>
      </c>
      <c r="E45" s="10" t="inlineStr">
        <is>
          <t>Buys pipeline; the first lever cut in a downturn (founder-led at pre-seed).</t>
        </is>
      </c>
    </row>
    <row r="46">
      <c r="A46" s="4" t="inlineStr">
        <is>
          <t>Facilities (G&amp;A)</t>
        </is>
      </c>
      <c r="B46" s="17" t="n">
        <v>15000</v>
      </c>
      <c r="C46" s="9" t="inlineStr">
        <is>
          <t>SAR/mo</t>
        </is>
      </c>
      <c r="E46" s="10" t="inlineStr">
        <is>
          <t>Somewhere to work; right-size to actual need.</t>
        </is>
      </c>
    </row>
    <row r="47">
      <c r="A47" s="4" t="inlineStr">
        <is>
          <t>Tooling / internal SaaS (G&amp;A)</t>
        </is>
      </c>
      <c r="B47" s="17" t="n">
        <v>10000</v>
      </c>
      <c r="C47" s="9" t="inlineStr">
        <is>
          <t>SAR/mo</t>
        </is>
      </c>
      <c r="E47" s="10" t="inlineStr">
        <is>
          <t>Enables the team; sprawl-prone — consolidate and purge shelfware.</t>
        </is>
      </c>
    </row>
    <row r="48">
      <c r="A48" s="4" t="inlineStr">
        <is>
          <t>Tax &amp; statutory ops provision (G&amp;A)</t>
        </is>
      </c>
      <c r="B48" s="17" t="n">
        <v>8000</v>
      </c>
      <c r="C48" s="9" t="inlineStr">
        <is>
          <t>SAR/mo</t>
        </is>
      </c>
      <c r="E48" s="10" t="inlineStr">
        <is>
          <t>Zakat/WHT/VAT provisioning; owed even pre-revenue.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7" customWidth="1" min="3" max="3"/>
    <col width="14" customWidth="1" min="4" max="4"/>
    <col width="9" customWidth="1" min="5" max="5"/>
    <col width="20" customWidth="1" min="6" max="6"/>
    <col width="7" customWidth="1" min="7" max="7"/>
    <col width="60" customWidth="1" min="8" max="8"/>
  </cols>
  <sheetData>
    <row r="1">
      <c r="A1" s="1" t="inlineStr">
        <is>
          <t>CBS — Cost Breakdown Structure (cost/month = rate × driver)</t>
        </is>
      </c>
    </row>
    <row r="2">
      <c r="A2" s="2" t="inlineStr">
        <is>
          <t>Rolls up to Cost-of-Revenue / R&amp;D / S&amp;M / G&amp;A and to the public-SaaS P&amp;L lines. Every element carries its rationale.</t>
        </is>
      </c>
    </row>
    <row r="4">
      <c r="A4" s="5" t="inlineStr">
        <is>
          <t>Cost element</t>
        </is>
      </c>
      <c r="B4" s="5" t="inlineStr">
        <is>
          <t>Cost/mo (SAR)</t>
        </is>
      </c>
      <c r="C4" s="5" t="inlineStr">
        <is>
          <t>Cat</t>
        </is>
      </c>
      <c r="D4" s="5" t="inlineStr">
        <is>
          <t>Public P&amp;L</t>
        </is>
      </c>
      <c r="E4" s="5" t="inlineStr">
        <is>
          <t>Behavior</t>
        </is>
      </c>
      <c r="F4" s="5" t="inlineStr">
        <is>
          <t>Driver</t>
        </is>
      </c>
      <c r="G4" s="5" t="inlineStr">
        <is>
          <t>Split</t>
        </is>
      </c>
      <c r="H4" s="5" t="inlineStr">
        <is>
          <t>Rationale (plain English)</t>
        </is>
      </c>
    </row>
    <row r="5">
      <c r="A5" s="9" t="inlineStr">
        <is>
          <t>Cloud base (compute/app)</t>
        </is>
      </c>
      <c r="B5" s="19">
        <f>Drivers!$B$13*Rates!$B$5</f>
        <v>5320</v>
      </c>
      <c r="C5" s="9" t="inlineStr">
        <is>
          <t>CoR</t>
        </is>
      </c>
      <c r="D5" s="9" t="inlineStr">
        <is>
          <t>Subscription</t>
        </is>
      </c>
      <c r="E5" s="9" t="inlineStr">
        <is>
          <t>S/V</t>
        </is>
      </c>
      <c r="F5" s="9" t="inlineStr">
        <is>
          <t># customers</t>
        </is>
      </c>
      <c r="G5" s="9" t="inlineStr">
        <is>
          <t>sub</t>
        </is>
      </c>
      <c r="H5" s="10" t="inlineStr">
        <is>
          <t>The always-on footprint every tenant needs even at zero activity.</t>
        </is>
      </c>
    </row>
    <row r="6">
      <c r="A6" s="9" t="inlineStr">
        <is>
          <t>Cloud per active partner</t>
        </is>
      </c>
      <c r="B6" s="19">
        <f>Drivers!$B$21*Rates!$B$6</f>
        <v>13980</v>
      </c>
      <c r="C6" s="9" t="inlineStr">
        <is>
          <t>CoR</t>
        </is>
      </c>
      <c r="D6" s="9" t="inlineStr">
        <is>
          <t>Subscription</t>
        </is>
      </c>
      <c r="E6" s="9" t="inlineStr">
        <is>
          <t>S/V</t>
        </is>
      </c>
      <c r="F6" s="9" t="inlineStr">
        <is>
          <t># active partners</t>
        </is>
      </c>
      <c r="G6" s="9" t="inlineStr">
        <is>
          <t>sub</t>
        </is>
      </c>
      <c r="H6" s="10" t="inlineStr">
        <is>
          <t>Most infra scales with active partners — the true cost engine of the platform.</t>
        </is>
      </c>
    </row>
    <row r="7">
      <c r="A7" s="9" t="inlineStr">
        <is>
          <t>Compute + inference / claim (capped)</t>
        </is>
      </c>
      <c r="B7" s="19">
        <f>Drivers!$B$25*Rates!$B$7</f>
        <v>4660</v>
      </c>
      <c r="C7" s="9" t="inlineStr">
        <is>
          <t>CoR</t>
        </is>
      </c>
      <c r="D7" s="9" t="inlineStr">
        <is>
          <t>Subscription</t>
        </is>
      </c>
      <c r="E7" s="9" t="inlineStr">
        <is>
          <t>V</t>
        </is>
      </c>
      <c r="F7" s="9" t="inlineStr">
        <is>
          <t># claims</t>
        </is>
      </c>
      <c r="G7" s="9" t="inlineStr">
        <is>
          <t>sub</t>
        </is>
      </c>
      <c r="H7" s="10" t="inlineStr">
        <is>
          <t>Each claim is processed and AI-assisted; capped so AI can't erode gross margin.</t>
        </is>
      </c>
    </row>
    <row r="8">
      <c r="A8" s="9" t="inlineStr">
        <is>
          <t>Evidence storage (monotonic)</t>
        </is>
      </c>
      <c r="B8" s="19">
        <f>Drivers!$B$28*Rates!$B$8</f>
        <v>4500</v>
      </c>
      <c r="C8" s="9" t="inlineStr">
        <is>
          <t>CoR</t>
        </is>
      </c>
      <c r="D8" s="9" t="inlineStr">
        <is>
          <t>Subscription</t>
        </is>
      </c>
      <c r="E8" s="9" t="inlineStr">
        <is>
          <t>V</t>
        </is>
      </c>
      <c r="F8" s="9" t="inlineStr">
        <is>
          <t>GB retained</t>
        </is>
      </c>
      <c r="G8" s="9" t="inlineStr">
        <is>
          <t>sub</t>
        </is>
      </c>
      <c r="H8" s="10" t="inlineStr">
        <is>
          <t>The evidence store only grows; without tiering this bill compounds forever.</t>
        </is>
      </c>
    </row>
    <row r="9">
      <c r="A9" s="9" t="inlineStr">
        <is>
          <t>KYB/AML screening</t>
        </is>
      </c>
      <c r="B9" s="19">
        <f>Drivers!$B$21*Rates!$B$9</f>
        <v>4660</v>
      </c>
      <c r="C9" s="9" t="inlineStr">
        <is>
          <t>CoR</t>
        </is>
      </c>
      <c r="D9" s="9" t="inlineStr">
        <is>
          <t>Subscription</t>
        </is>
      </c>
      <c r="E9" s="9" t="inlineStr">
        <is>
          <t>V</t>
        </is>
      </c>
      <c r="F9" s="9" t="inlineStr">
        <is>
          <t># active partners</t>
        </is>
      </c>
      <c r="G9" s="9" t="inlineStr">
        <is>
          <t>sub</t>
        </is>
      </c>
      <c r="H9" s="10" t="inlineStr">
        <is>
          <t>Every partner must be verified — a compliance must, not optional.</t>
        </is>
      </c>
    </row>
    <row r="10">
      <c r="A10" s="9" t="inlineStr">
        <is>
          <t>e-signature / execution</t>
        </is>
      </c>
      <c r="B10" s="19">
        <f>Drivers!$B$25*Rates!$B$10</f>
        <v>2796</v>
      </c>
      <c r="C10" s="9" t="inlineStr">
        <is>
          <t>CoR</t>
        </is>
      </c>
      <c r="D10" s="9" t="inlineStr">
        <is>
          <t>Subscription</t>
        </is>
      </c>
      <c r="E10" s="9" t="inlineStr">
        <is>
          <t>V</t>
        </is>
      </c>
      <c r="F10" s="9" t="inlineStr">
        <is>
          <t># documents</t>
        </is>
      </c>
      <c r="G10" s="9" t="inlineStr">
        <is>
          <t>sub</t>
        </is>
      </c>
      <c r="H10" s="10" t="inlineStr">
        <is>
          <t>Executing claims/contracts runs through a paid signing rail.</t>
        </is>
      </c>
    </row>
    <row r="11">
      <c r="A11" s="9" t="inlineStr">
        <is>
          <t>Payout rails (Phase &gt;=2)</t>
        </is>
      </c>
      <c r="B11" s="19">
        <f>Drivers!$B$27*Rates!$B$11</f>
        <v>9320</v>
      </c>
      <c r="C11" s="9" t="inlineStr">
        <is>
          <t>CoR</t>
        </is>
      </c>
      <c r="D11" s="9" t="inlineStr">
        <is>
          <t>Subscription</t>
        </is>
      </c>
      <c r="E11" s="9" t="inlineStr">
        <is>
          <t>V</t>
        </is>
      </c>
      <c r="F11" s="9" t="inlineStr">
        <is>
          <t># payouts</t>
        </is>
      </c>
      <c r="G11" s="9" t="inlineStr">
        <is>
          <t>sub</t>
        </is>
      </c>
      <c r="H11" s="10" t="inlineStr">
        <is>
          <t>Moving money costs per payout — zero until the Settle gate opens.</t>
        </is>
      </c>
    </row>
    <row r="12">
      <c r="A12" s="9" t="inlineStr">
        <is>
          <t>ZATCA e-invoicing</t>
        </is>
      </c>
      <c r="B12" s="19">
        <f>Drivers!$B$13*Rates!$B$12</f>
        <v>66.5</v>
      </c>
      <c r="C12" s="9" t="inlineStr">
        <is>
          <t>CoR</t>
        </is>
      </c>
      <c r="D12" s="9" t="inlineStr">
        <is>
          <t>Subscription</t>
        </is>
      </c>
      <c r="E12" s="9" t="inlineStr">
        <is>
          <t>V/S</t>
        </is>
      </c>
      <c r="F12" s="9" t="inlineStr">
        <is>
          <t># invoices</t>
        </is>
      </c>
      <c r="G12" s="9" t="inlineStr">
        <is>
          <t>sub</t>
        </is>
      </c>
      <c r="H12" s="10" t="inlineStr">
        <is>
          <t>Saudi e-invoicing is law; cost per billed customer.</t>
        </is>
      </c>
    </row>
    <row r="13">
      <c r="A13" s="9" t="inlineStr">
        <is>
          <t>Notifications</t>
        </is>
      </c>
      <c r="B13" s="19">
        <f>Drivers!$B$25*Rates!$B$13</f>
        <v>932</v>
      </c>
      <c r="C13" s="9" t="inlineStr">
        <is>
          <t>CoR</t>
        </is>
      </c>
      <c r="D13" s="9" t="inlineStr">
        <is>
          <t>Subscription</t>
        </is>
      </c>
      <c r="E13" s="9" t="inlineStr">
        <is>
          <t>V</t>
        </is>
      </c>
      <c r="F13" s="9" t="inlineStr">
        <is>
          <t># notifications</t>
        </is>
      </c>
      <c r="G13" s="9" t="inlineStr">
        <is>
          <t>sub</t>
        </is>
      </c>
      <c r="H13" s="10" t="inlineStr">
        <is>
          <t>Every event notifies partners/customers; small but volume-scaled.</t>
        </is>
      </c>
    </row>
    <row r="14">
      <c r="A14" s="9" t="inlineStr">
        <is>
          <t>Security &amp; compliance runtime</t>
        </is>
      </c>
      <c r="B14" s="19">
        <f>Rates!$B$14</f>
        <v>8000</v>
      </c>
      <c r="C14" s="9" t="inlineStr">
        <is>
          <t>CoR</t>
        </is>
      </c>
      <c r="D14" s="9" t="inlineStr">
        <is>
          <t>Subscription</t>
        </is>
      </c>
      <c r="E14" s="9" t="inlineStr">
        <is>
          <t>F/S</t>
        </is>
      </c>
      <c r="F14" s="9" t="inlineStr">
        <is>
          <t>compliance tier</t>
        </is>
      </c>
      <c r="G14" s="9" t="inlineStr">
        <is>
          <t>sub</t>
        </is>
      </c>
      <c r="H14" s="10" t="inlineStr">
        <is>
          <t>WAF/SIEM/audit baseline; cutting it fails the enterprise/gov sale — a false economy.</t>
        </is>
      </c>
    </row>
    <row r="15">
      <c r="A15" s="9" t="inlineStr">
        <is>
          <t>Residency premium (L2)</t>
        </is>
      </c>
      <c r="B15" s="19">
        <f>Drivers!$B$29*Rates!$B$15</f>
        <v>4500</v>
      </c>
      <c r="C15" s="9" t="inlineStr">
        <is>
          <t>CoR</t>
        </is>
      </c>
      <c r="D15" s="9" t="inlineStr">
        <is>
          <t>Subscription</t>
        </is>
      </c>
      <c r="E15" s="9" t="inlineStr">
        <is>
          <t>S</t>
        </is>
      </c>
      <c r="F15" s="9" t="inlineStr">
        <is>
          <t># L2 tenants</t>
        </is>
      </c>
      <c r="G15" s="9" t="inlineStr">
        <is>
          <t>sub</t>
        </is>
      </c>
      <c r="H15" s="10" t="inlineStr">
        <is>
          <t>In-Kingdom/dedicated tenancy is the GCC wedge; it has a real, fixed cost.</t>
        </is>
      </c>
    </row>
    <row r="16">
      <c r="A16" s="9" t="inlineStr">
        <is>
          <t>Support (as COGS)</t>
        </is>
      </c>
      <c r="B16" s="19">
        <f>Drivers!$B$32*Rates!$B$16</f>
        <v>4455</v>
      </c>
      <c r="C16" s="9" t="inlineStr">
        <is>
          <t>CoR</t>
        </is>
      </c>
      <c r="D16" s="9" t="inlineStr">
        <is>
          <t>Subscription</t>
        </is>
      </c>
      <c r="E16" s="9" t="inlineStr">
        <is>
          <t>S/V</t>
        </is>
      </c>
      <c r="F16" s="9" t="inlineStr">
        <is>
          <t># tickets</t>
        </is>
      </c>
      <c r="G16" s="9" t="inlineStr">
        <is>
          <t>sub</t>
        </is>
      </c>
      <c r="H16" s="10" t="inlineStr">
        <is>
          <t>Human support is genuine COGS; self-serve deflection keeps it small.</t>
        </is>
      </c>
    </row>
    <row r="17">
      <c r="A17" s="9" t="inlineStr">
        <is>
          <t>Customer Success (as COGS)</t>
        </is>
      </c>
      <c r="B17" s="19">
        <f>SUMPRODUCT(Drivers!$B$8:$B$12,Rates!$B$19:$B$23)</f>
        <v>21400</v>
      </c>
      <c r="C17" s="9" t="inlineStr">
        <is>
          <t>CoR</t>
        </is>
      </c>
      <c r="D17" s="9" t="inlineStr">
        <is>
          <t>Subscription</t>
        </is>
      </c>
      <c r="E17" s="9" t="inlineStr">
        <is>
          <t>S</t>
        </is>
      </c>
      <c r="F17" s="9" t="inlineStr">
        <is>
          <t># accounts</t>
        </is>
      </c>
      <c r="G17" s="9" t="inlineStr">
        <is>
          <t>subcs</t>
        </is>
      </c>
      <c r="H17" s="10" t="inlineStr">
        <is>
          <t>Retention labor for larger accounts; SME gets none because it must be self-serve.</t>
        </is>
      </c>
    </row>
    <row r="18">
      <c r="A18" s="9" t="inlineStr">
        <is>
          <t>Implementation delivery</t>
        </is>
      </c>
      <c r="B18" s="19">
        <f>Drivers!$B$33*Rates!$B$27</f>
        <v>100000</v>
      </c>
      <c r="C18" s="9" t="inlineStr">
        <is>
          <t>CoR</t>
        </is>
      </c>
      <c r="D18" s="9" t="inlineStr">
        <is>
          <t>Services</t>
        </is>
      </c>
      <c r="E18" s="9" t="inlineStr">
        <is>
          <t>V</t>
        </is>
      </c>
      <c r="F18" s="9" t="inlineStr">
        <is>
          <t># onboardings</t>
        </is>
      </c>
      <c r="G18" s="9" t="inlineStr">
        <is>
          <t>svc</t>
        </is>
      </c>
      <c r="H18" s="10" t="inlineStr">
        <is>
          <t>One-time delivery to get a customer live; belongs in COGS, not CAC — fenced &lt;20% of revenue.</t>
        </is>
      </c>
    </row>
    <row r="19">
      <c r="A19" s="9" t="inlineStr">
        <is>
          <t>Engineering / product / design</t>
        </is>
      </c>
      <c r="B19" s="19">
        <f>Rates!$D$39</f>
        <v>175996.8</v>
      </c>
      <c r="C19" s="9" t="inlineStr">
        <is>
          <t>R&amp;D</t>
        </is>
      </c>
      <c r="D19" s="9" t="inlineStr">
        <is>
          <t>R&amp;D</t>
        </is>
      </c>
      <c r="E19" s="9" t="inlineStr">
        <is>
          <t>S</t>
        </is>
      </c>
      <c r="F19" s="9" t="inlineStr">
        <is>
          <t>roadmap scope</t>
        </is>
      </c>
      <c r="G19" s="9" t="inlineStr">
        <is>
          <t>rnd</t>
        </is>
      </c>
      <c r="H19" s="10" t="inlineStr">
        <is>
          <t>Builds the product itself; protect this velocity — it is the asset.</t>
        </is>
      </c>
    </row>
    <row r="20">
      <c r="A20" s="9" t="inlineStr">
        <is>
          <t>Quota sales + solution eng</t>
        </is>
      </c>
      <c r="B20" s="19">
        <f>Rates!$D$40</f>
        <v>100002</v>
      </c>
      <c r="C20" s="9" t="inlineStr">
        <is>
          <t>S&amp;M</t>
        </is>
      </c>
      <c r="D20" s="9" t="inlineStr">
        <is>
          <t>S&amp;M</t>
        </is>
      </c>
      <c r="E20" s="9" t="inlineStr">
        <is>
          <t>S</t>
        </is>
      </c>
      <c r="F20" s="9" t="inlineStr">
        <is>
          <t># reps × quota</t>
        </is>
      </c>
      <c r="G20" s="9" t="inlineStr">
        <is>
          <t>sm</t>
        </is>
      </c>
      <c r="H20" s="10" t="inlineStr">
        <is>
          <t>Capacity that closes revenue; fund productive capacity, gate additions on efficiency.</t>
        </is>
      </c>
    </row>
    <row r="21">
      <c r="A21" s="9" t="inlineStr">
        <is>
          <t>Demand generation</t>
        </is>
      </c>
      <c r="B21" s="19">
        <f>Rates!$B$45</f>
        <v>40000</v>
      </c>
      <c r="C21" s="9" t="inlineStr">
        <is>
          <t>S&amp;M</t>
        </is>
      </c>
      <c r="D21" s="9" t="inlineStr">
        <is>
          <t>S&amp;M</t>
        </is>
      </c>
      <c r="E21" s="9" t="inlineStr">
        <is>
          <t>V/F</t>
        </is>
      </c>
      <c r="F21" s="9" t="inlineStr">
        <is>
          <t>pipeline target</t>
        </is>
      </c>
      <c r="G21" s="9" t="inlineStr">
        <is>
          <t>sm</t>
        </is>
      </c>
      <c r="H21" s="10" t="inlineStr">
        <is>
          <t>Buys pipeline; the first lever to cut in a downturn.</t>
        </is>
      </c>
    </row>
    <row r="22">
      <c r="A22" s="9" t="inlineStr">
        <is>
          <t>G&amp;A labor (fin/legal/HR/IT)</t>
        </is>
      </c>
      <c r="B22" s="19">
        <f>Rates!$D$41</f>
        <v>72000</v>
      </c>
      <c r="C22" s="9" t="inlineStr">
        <is>
          <t>G&amp;A</t>
        </is>
      </c>
      <c r="D22" s="9" t="inlineStr">
        <is>
          <t>G&amp;A</t>
        </is>
      </c>
      <c r="E22" s="9" t="inlineStr">
        <is>
          <t>S</t>
        </is>
      </c>
      <c r="F22" s="9" t="inlineStr">
        <is>
          <t>headcount</t>
        </is>
      </c>
      <c r="G22" s="9" t="inlineStr">
        <is>
          <t>ga</t>
        </is>
      </c>
      <c r="H22" s="10" t="inlineStr">
        <is>
          <t>Runs the company; aggressive ZBB target — should grow slower than revenue.</t>
        </is>
      </c>
    </row>
    <row r="23">
      <c r="A23" s="9" t="inlineStr">
        <is>
          <t>Founders &amp; leadership</t>
        </is>
      </c>
      <c r="B23" s="19">
        <f>Rates!$D$42</f>
        <v>60000</v>
      </c>
      <c r="C23" s="9" t="inlineStr">
        <is>
          <t>G&amp;A</t>
        </is>
      </c>
      <c r="D23" s="9" t="inlineStr">
        <is>
          <t>G&amp;A</t>
        </is>
      </c>
      <c r="E23" s="9" t="inlineStr">
        <is>
          <t>F</t>
        </is>
      </c>
      <c r="F23" s="9" t="inlineStr">
        <is>
          <t>headcount plan</t>
        </is>
      </c>
      <c r="G23" s="9" t="inlineStr">
        <is>
          <t>ga</t>
        </is>
      </c>
      <c r="H23" s="10" t="inlineStr">
        <is>
          <t>Below-market founder cash comp; the core team.</t>
        </is>
      </c>
    </row>
    <row r="24">
      <c r="A24" s="9" t="inlineStr">
        <is>
          <t>Facilities</t>
        </is>
      </c>
      <c r="B24" s="19">
        <f>Rates!$B$46</f>
        <v>15000</v>
      </c>
      <c r="C24" s="9" t="inlineStr">
        <is>
          <t>G&amp;A</t>
        </is>
      </c>
      <c r="D24" s="9" t="inlineStr">
        <is>
          <t>G&amp;A</t>
        </is>
      </c>
      <c r="E24" s="9" t="inlineStr">
        <is>
          <t>F/S</t>
        </is>
      </c>
      <c r="F24" s="9" t="inlineStr">
        <is>
          <t>headcount</t>
        </is>
      </c>
      <c r="G24" s="9" t="inlineStr">
        <is>
          <t>ga</t>
        </is>
      </c>
      <c r="H24" s="10" t="inlineStr">
        <is>
          <t>Office footprint; right-size to actual need.</t>
        </is>
      </c>
    </row>
    <row r="25">
      <c r="A25" s="9" t="inlineStr">
        <is>
          <t>Tooling / internal SaaS</t>
        </is>
      </c>
      <c r="B25" s="19">
        <f>Rates!$B$47</f>
        <v>10000</v>
      </c>
      <c r="C25" s="9" t="inlineStr">
        <is>
          <t>G&amp;A</t>
        </is>
      </c>
      <c r="D25" s="9" t="inlineStr">
        <is>
          <t>G&amp;A</t>
        </is>
      </c>
      <c r="E25" s="9" t="inlineStr">
        <is>
          <t>S/V</t>
        </is>
      </c>
      <c r="F25" s="9" t="inlineStr">
        <is>
          <t>headcount</t>
        </is>
      </c>
      <c r="G25" s="9" t="inlineStr">
        <is>
          <t>ga</t>
        </is>
      </c>
      <c r="H25" s="10" t="inlineStr">
        <is>
          <t>Internal SaaS; sprawl-prone — consolidate and purge shelfware.</t>
        </is>
      </c>
    </row>
    <row r="26">
      <c r="A26" s="9" t="inlineStr">
        <is>
          <t>Tax &amp; statutory ops</t>
        </is>
      </c>
      <c r="B26" s="19">
        <f>Rates!$B$48</f>
        <v>8000</v>
      </c>
      <c r="C26" s="9" t="inlineStr">
        <is>
          <t>G&amp;A</t>
        </is>
      </c>
      <c r="D26" s="9" t="inlineStr">
        <is>
          <t>G&amp;A</t>
        </is>
      </c>
      <c r="E26" s="9" t="inlineStr">
        <is>
          <t>V/F</t>
        </is>
      </c>
      <c r="F26" s="9" t="inlineStr">
        <is>
          <t>net assets/spend</t>
        </is>
      </c>
      <c r="G26" s="9" t="inlineStr">
        <is>
          <t>ga</t>
        </is>
      </c>
      <c r="H26" s="10" t="inlineStr">
        <is>
          <t>Zakat/WHT/VAT provisioning; statutory, owed even pre-revenue.</t>
        </is>
      </c>
    </row>
    <row r="28">
      <c r="A28" s="6" t="inlineStr">
        <is>
          <t>CATEGORY ROLL-UP (SAR / month)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5" t="inlineStr">
        <is>
          <t>Cost of Revenue (CoR)</t>
        </is>
      </c>
      <c r="B29" s="20">
        <f>SUMIF($C$5:$C$26,"CoR",$B$5:$B$26)</f>
        <v>184589.5</v>
      </c>
      <c r="H29" s="10" t="inlineStr">
        <is>
          <t>Everything it costs to deliver the service — the denominator of gross margin; keep under ~30 pts of revenue.</t>
        </is>
      </c>
    </row>
    <row r="30">
      <c r="A30" s="5" t="inlineStr">
        <is>
          <t>Research &amp; Development (R&amp;D)</t>
        </is>
      </c>
      <c r="B30" s="20">
        <f>SUMIF($C$5:$C$26,"R&amp;D",$B$5:$B$26)</f>
        <v>175996.8</v>
      </c>
      <c r="H30" s="10" t="inlineStr">
        <is>
          <t>Building the product; protected pool, though capitalization policy can shift it into CoR.</t>
        </is>
      </c>
    </row>
    <row r="31">
      <c r="A31" s="5" t="inlineStr">
        <is>
          <t>Sales &amp; Marketing (S&amp;M)</t>
        </is>
      </c>
      <c r="B31" s="20">
        <f>SUMIF($C$5:$C$26,"S&amp;M",$B$5:$B$26)</f>
        <v>140002</v>
      </c>
      <c r="H31" s="10" t="inlineStr">
        <is>
          <t>Acquiring and expanding customers; efficiency-gated by magic number and CAC payback.</t>
        </is>
      </c>
    </row>
    <row r="32">
      <c r="A32" s="5" t="inlineStr">
        <is>
          <t>General &amp; Administrative (G&amp;A)</t>
        </is>
      </c>
      <c r="B32" s="20">
        <f>SUMIF($C$5:$C$26,"G&amp;A",$B$5:$B$26)</f>
        <v>165000</v>
      </c>
      <c r="H32" s="10" t="inlineStr">
        <is>
          <t>Running the company; the single biggest waste-attack surface for ZBB.</t>
        </is>
      </c>
    </row>
    <row r="33">
      <c r="A33" s="5" t="inlineStr">
        <is>
          <t>TOTAL COST</t>
        </is>
      </c>
      <c r="B33" s="20">
        <f>SUM(B29:B32)</f>
        <v>665588.3</v>
      </c>
      <c r="H33" s="10" t="inlineStr">
        <is>
          <t>All cost the business incurs this month, across every category.</t>
        </is>
      </c>
    </row>
    <row r="35">
      <c r="A35" s="13" t="inlineStr">
        <is>
          <t xml:space="preserve">  of which subscription CoR</t>
        </is>
      </c>
      <c r="B35" s="19">
        <f>SUMIF($G$5:$G$26,"sub",$B$5:$B$26)+SUMIF($G$5:$G$26,"subcs",$B$5:$B$26)</f>
        <v>84589.5</v>
      </c>
      <c r="H35" s="10" t="inlineStr">
        <is>
          <t>The software cost base; drives the ~80–85% subscription gross margin target.</t>
        </is>
      </c>
    </row>
    <row r="36">
      <c r="A36" s="13" t="inlineStr">
        <is>
          <t xml:space="preserve">  of which services CoR</t>
        </is>
      </c>
      <c r="B36" s="19">
        <f>SUMIF($G$5:$G$26,"svc",$B$5:$B$26)</f>
        <v>100000</v>
      </c>
      <c r="H36" s="10" t="inlineStr">
        <is>
          <t>The implementation cost base; fenced so its low margin never touches the software story.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4" customWidth="1" min="3" max="3"/>
    <col width="14" customWidth="1" min="4" max="4"/>
    <col width="15" customWidth="1" min="5" max="5"/>
    <col width="11" customWidth="1" min="6" max="6"/>
    <col width="14" customWidth="1" min="7" max="7"/>
    <col width="14" customWidth="1" min="8" max="8"/>
    <col width="8" customWidth="1" min="9" max="9"/>
    <col width="52" customWidth="1" min="10" max="10"/>
  </cols>
  <sheetData>
    <row r="1">
      <c r="A1" s="1" t="inlineStr">
        <is>
          <t>COST-TO-SERVE — per-tier unit economics &amp; gross margin</t>
        </is>
      </c>
    </row>
    <row r="2">
      <c r="A2" s="2" t="inlineStr">
        <is>
          <t>Subscription only (services fenced). Shared infra allocated by active-partner share. Rationale per tier at right.</t>
        </is>
      </c>
    </row>
    <row r="3">
      <c r="A3" s="5" t="inlineStr">
        <is>
          <t>Shared subscription CoR ex-CS (SAR/mo):</t>
        </is>
      </c>
      <c r="B3" s="21">
        <f>SUMIF(CBS!$G$5:$G$26,"sub",CBS!$B$5:$B$26)</f>
        <v>63189.5</v>
      </c>
      <c r="J3" s="10" t="inlineStr">
        <is>
          <t>The pool of shared infra cost that is spread across tiers by their partner share.</t>
        </is>
      </c>
    </row>
    <row r="6">
      <c r="A6" s="5" t="inlineStr">
        <is>
          <t>Tier</t>
        </is>
      </c>
      <c r="B6" s="5" t="inlineStr">
        <is>
          <t>Customers</t>
        </is>
      </c>
      <c r="C6" s="5" t="inlineStr">
        <is>
          <t>Active ptnrs</t>
        </is>
      </c>
      <c r="D6" s="5" t="inlineStr">
        <is>
          <t>Sub rev/mo</t>
        </is>
      </c>
      <c r="E6" s="5" t="inlineStr">
        <is>
          <t>Alloc CoR</t>
        </is>
      </c>
      <c r="F6" s="5" t="inlineStr">
        <is>
          <t>Tier CS</t>
        </is>
      </c>
      <c r="G6" s="5" t="inlineStr">
        <is>
          <t>Tier CoR</t>
        </is>
      </c>
      <c r="H6" s="5" t="inlineStr">
        <is>
          <t>Contribution</t>
        </is>
      </c>
      <c r="I6" s="5" t="inlineStr">
        <is>
          <t>GM %</t>
        </is>
      </c>
      <c r="J6" s="5" t="inlineStr">
        <is>
          <t>Rationale (plain English)</t>
        </is>
      </c>
    </row>
    <row r="7">
      <c r="A7" s="5" t="inlineStr">
        <is>
          <t>SME</t>
        </is>
      </c>
      <c r="B7" s="14">
        <f>Drivers!$B$8</f>
        <v>100</v>
      </c>
      <c r="C7" s="14">
        <f>Drivers!$B$8*Drivers!$B$16</f>
        <v>800</v>
      </c>
      <c r="D7" s="19">
        <f>Drivers!$B$8*Rates!$B$30/12</f>
        <v>10000</v>
      </c>
      <c r="E7" s="19">
        <f>IFERROR(C7/Drivers!$B$21*$B$3,0)</f>
        <v>10847.982833</v>
      </c>
      <c r="F7" s="19">
        <f>Drivers!$B$8*Rates!$B$19</f>
        <v>0</v>
      </c>
      <c r="G7" s="19">
        <f>E7+F7</f>
        <v>10847.982833</v>
      </c>
      <c r="H7" s="19">
        <f>D7-G7</f>
        <v>-847.982833</v>
      </c>
      <c r="I7" s="22">
        <f>IFERROR(H7/D7,0)</f>
        <v>-0.084798</v>
      </c>
      <c r="J7" s="10" t="inlineStr">
        <is>
          <t>Land wedge — near-zero touch; can be contribution-negative fully-allocated. That is the point: expansion, not margin.</t>
        </is>
      </c>
    </row>
    <row r="8">
      <c r="A8" s="5" t="inlineStr">
        <is>
          <t>SMB</t>
        </is>
      </c>
      <c r="B8" s="14">
        <f>Drivers!$B$9</f>
        <v>20</v>
      </c>
      <c r="C8" s="14">
        <f>Drivers!$B$9*Drivers!$B$17</f>
        <v>800</v>
      </c>
      <c r="D8" s="19">
        <f>Drivers!$B$9*Rates!$B$31/12</f>
        <v>166666.666667</v>
      </c>
      <c r="E8" s="19">
        <f>IFERROR(C8/Drivers!$B$21*$B$3,0)</f>
        <v>10847.982833</v>
      </c>
      <c r="F8" s="19">
        <f>Drivers!$B$9*Rates!$B$20</f>
        <v>4000</v>
      </c>
      <c r="G8" s="19">
        <f>E8+F8</f>
        <v>14847.982833</v>
      </c>
      <c r="H8" s="19">
        <f>D8-G8</f>
        <v>151818.683834</v>
      </c>
      <c r="I8" s="22">
        <f>IFERROR(H8/D8,0)</f>
        <v>0.910912</v>
      </c>
      <c r="J8" s="10" t="inlineStr">
        <is>
          <t>First real margin tier; CSM-light, mostly software cost.</t>
        </is>
      </c>
    </row>
    <row r="9">
      <c r="A9" s="5" t="inlineStr">
        <is>
          <t>Mid-market</t>
        </is>
      </c>
      <c r="B9" s="14">
        <f>Drivers!$B$10</f>
        <v>8</v>
      </c>
      <c r="C9" s="14">
        <f>Drivers!$B$10*Drivers!$B$18</f>
        <v>960</v>
      </c>
      <c r="D9" s="19">
        <f>Drivers!$B$10*Rates!$B$32/12</f>
        <v>200000</v>
      </c>
      <c r="E9" s="19">
        <f>IFERROR(C9/Drivers!$B$21*$B$3,0)</f>
        <v>13017.579399</v>
      </c>
      <c r="F9" s="19">
        <f>Drivers!$B$10*Rates!$B$21</f>
        <v>6400</v>
      </c>
      <c r="G9" s="19">
        <f>E9+F9</f>
        <v>19417.579399</v>
      </c>
      <c r="H9" s="19">
        <f>D9-G9</f>
        <v>180582.420601</v>
      </c>
      <c r="I9" s="22">
        <f>IFERROR(H9/D9,0)</f>
        <v>0.902912</v>
      </c>
      <c r="J9" s="10" t="inlineStr">
        <is>
          <t>Finance-grade buyer; healthy contribution after a named CSM.</t>
        </is>
      </c>
    </row>
    <row r="10">
      <c r="A10" s="5" t="inlineStr">
        <is>
          <t>Semi-gov</t>
        </is>
      </c>
      <c r="B10" s="14">
        <f>Drivers!$B$11</f>
        <v>2</v>
      </c>
      <c r="C10" s="14">
        <f>Drivers!$B$11*Drivers!$B$19</f>
        <v>600</v>
      </c>
      <c r="D10" s="19">
        <f>Drivers!$B$11*Rates!$B$33/12</f>
        <v>200000</v>
      </c>
      <c r="E10" s="19">
        <f>IFERROR(C10/Drivers!$B$21*$B$3,0)</f>
        <v>8135.987124</v>
      </c>
      <c r="F10" s="19">
        <f>Drivers!$B$11*Rates!$B$22</f>
        <v>5000</v>
      </c>
      <c r="G10" s="19">
        <f>E10+F10</f>
        <v>13135.987124</v>
      </c>
      <c r="H10" s="19">
        <f>D10-G10</f>
        <v>186864.012876</v>
      </c>
      <c r="I10" s="22">
        <f>IFERROR(H10/D10,0)</f>
        <v>0.93432</v>
      </c>
      <c r="J10" s="10" t="inlineStr">
        <is>
          <t>Residency premium priced to absorb the sovereignty cost and still clear the floor.</t>
        </is>
      </c>
    </row>
    <row r="11">
      <c r="A11" s="5" t="inlineStr">
        <is>
          <t>Large ent</t>
        </is>
      </c>
      <c r="B11" s="14">
        <f>Drivers!$B$12</f>
        <v>3</v>
      </c>
      <c r="C11" s="14">
        <f>Drivers!$B$12*Drivers!$B$20</f>
        <v>1500</v>
      </c>
      <c r="D11" s="19">
        <f>Drivers!$B$12*Rates!$B$34/12</f>
        <v>225000</v>
      </c>
      <c r="E11" s="19">
        <f>IFERROR(C11/Drivers!$B$21*$B$3,0)</f>
        <v>20339.967811</v>
      </c>
      <c r="F11" s="19">
        <f>Drivers!$B$12*Rates!$B$23</f>
        <v>6000</v>
      </c>
      <c r="G11" s="19">
        <f>E11+F11</f>
        <v>26339.967811</v>
      </c>
      <c r="H11" s="19">
        <f>D11-G11</f>
        <v>198660.032189</v>
      </c>
      <c r="I11" s="22">
        <f>IFERROR(H11/D11,0)</f>
        <v>0.882933</v>
      </c>
      <c r="J11" s="10" t="inlineStr">
        <is>
          <t>High partner volume; priced to clear the floor including its infra drag.</t>
        </is>
      </c>
    </row>
    <row r="12">
      <c r="A12" s="5" t="inlineStr">
        <is>
          <t>TOTAL / BLENDED</t>
        </is>
      </c>
      <c r="B12" s="12">
        <f>SUM(B7:B11)</f>
        <v>133</v>
      </c>
      <c r="C12" s="12">
        <f>SUM(C7:C11)</f>
        <v>4660</v>
      </c>
      <c r="D12" s="20">
        <f>SUM(D7:D11)</f>
        <v>801666.666667</v>
      </c>
      <c r="E12" s="20">
        <f>SUM(E7:E11)</f>
        <v>63189.5</v>
      </c>
      <c r="F12" s="20">
        <f>SUM(F7:F11)</f>
        <v>21400</v>
      </c>
      <c r="G12" s="20">
        <f>SUM(G7:G11)</f>
        <v>84589.5</v>
      </c>
      <c r="H12" s="20">
        <f>SUM(H7:H11)</f>
        <v>717077.166667</v>
      </c>
      <c r="I12" s="23">
        <f>IFERROR(H12/D12,0)</f>
        <v>0.894483</v>
      </c>
      <c r="J12" s="10" t="inlineStr">
        <is>
          <t>Blended subscription gross margin (ex-services). Must clear the &gt;=70% floor before services are even added.</t>
        </is>
      </c>
    </row>
    <row r="14">
      <c r="A14" s="24" t="inlineStr">
        <is>
          <t>Checks: C12 must equal Drivers!B21 (total partners); G12 must equal CBS!B35 (total subscription CoR).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15" customWidth="1" min="3" max="3"/>
    <col width="9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50" customWidth="1" min="10" max="10"/>
  </cols>
  <sheetData>
    <row r="1">
      <c r="A1" s="1" t="inlineStr">
        <is>
          <t>DECISION PACKAGES — the zero-based unit of funding</t>
        </is>
      </c>
    </row>
    <row r="2">
      <c r="A2" s="2" t="inlineStr">
        <is>
          <t>Each activity costed at Minimum-Viable / Target / Gold. Deferrability: Protect / Defer / Cut-first. Rationale = what the money buys.</t>
        </is>
      </c>
    </row>
    <row r="4">
      <c r="A4" s="5" t="inlineStr">
        <is>
          <t>Package</t>
        </is>
      </c>
      <c r="B4" s="5" t="inlineStr">
        <is>
          <t>Cat</t>
        </is>
      </c>
      <c r="C4" s="5" t="inlineStr">
        <is>
          <t>Driver</t>
        </is>
      </c>
      <c r="D4" s="5" t="inlineStr">
        <is>
          <t>Behav.</t>
        </is>
      </c>
      <c r="E4" s="5" t="inlineStr">
        <is>
          <t>Deferrability</t>
        </is>
      </c>
      <c r="F4" s="5" t="inlineStr">
        <is>
          <t>MV/mo</t>
        </is>
      </c>
      <c r="G4" s="5" t="inlineStr">
        <is>
          <t>Target/mo</t>
        </is>
      </c>
      <c r="H4" s="5" t="inlineStr">
        <is>
          <t>Gold/mo</t>
        </is>
      </c>
      <c r="I4" s="5" t="inlineStr">
        <is>
          <t>Owner</t>
        </is>
      </c>
      <c r="J4" s="5" t="inlineStr">
        <is>
          <t>Outcome / rationale (why funded)</t>
        </is>
      </c>
    </row>
    <row r="5">
      <c r="A5" s="9" t="inlineStr">
        <is>
          <t>B1 Core engineering (ledger/rule-engine)</t>
        </is>
      </c>
      <c r="B5" s="9" t="inlineStr">
        <is>
          <t>R&amp;D</t>
        </is>
      </c>
      <c r="C5" s="9" t="inlineStr">
        <is>
          <t>roadmap</t>
        </is>
      </c>
      <c r="D5" s="9" t="inlineStr">
        <is>
          <t>S</t>
        </is>
      </c>
      <c r="E5" s="25" t="inlineStr">
        <is>
          <t>Protect</t>
        </is>
      </c>
      <c r="F5" s="17" t="n">
        <v>120000</v>
      </c>
      <c r="G5" s="17" t="n">
        <v>176000</v>
      </c>
      <c r="H5" s="17" t="n">
        <v>240000</v>
      </c>
      <c r="I5" s="9" t="inlineStr">
        <is>
          <t>CTO</t>
        </is>
      </c>
      <c r="J5" s="10" t="inlineStr">
        <is>
          <t>The product itself — protect velocity; it is the durable asset the company is building.</t>
        </is>
      </c>
    </row>
    <row r="6">
      <c r="A6" s="9" t="inlineStr">
        <is>
          <t>A3 SOC2/ISO27001/pen-test</t>
        </is>
      </c>
      <c r="B6" s="9" t="inlineStr">
        <is>
          <t>CoR</t>
        </is>
      </c>
      <c r="C6" s="9" t="inlineStr">
        <is>
          <t>audit cadence</t>
        </is>
      </c>
      <c r="D6" s="9" t="inlineStr">
        <is>
          <t>F</t>
        </is>
      </c>
      <c r="E6" s="25" t="inlineStr">
        <is>
          <t>Protect</t>
        </is>
      </c>
      <c r="F6" s="17" t="n">
        <v>6000</v>
      </c>
      <c r="G6" s="17" t="n">
        <v>8000</v>
      </c>
      <c r="H6" s="17" t="n">
        <v>12000</v>
      </c>
      <c r="I6" s="9" t="inlineStr">
        <is>
          <t>Security</t>
        </is>
      </c>
      <c r="J6" s="10" t="inlineStr">
        <is>
          <t>Unlocks enterprise/gov trust; cutting it fails the sale — a classic false economy.</t>
        </is>
      </c>
    </row>
    <row r="7">
      <c r="A7" s="9" t="inlineStr">
        <is>
          <t>D7 Statutory burden (GOSI/EOSB/levies)</t>
        </is>
      </c>
      <c r="B7" s="9" t="inlineStr">
        <is>
          <t>G&amp;A</t>
        </is>
      </c>
      <c r="C7" s="9" t="inlineStr">
        <is>
          <t>headcount</t>
        </is>
      </c>
      <c r="D7" s="9" t="inlineStr">
        <is>
          <t>V</t>
        </is>
      </c>
      <c r="E7" s="25" t="inlineStr">
        <is>
          <t>Protect</t>
        </is>
      </c>
      <c r="F7" s="17" t="n">
        <v>0</v>
      </c>
      <c r="G7" s="17" t="n">
        <v>0</v>
      </c>
      <c r="H7" s="17" t="n">
        <v>0</v>
      </c>
      <c r="I7" s="9" t="inlineStr">
        <is>
          <t>Finance</t>
        </is>
      </c>
      <c r="J7" s="10" t="inlineStr">
        <is>
          <t>Legally owed on every employee — non-negotiable; shown for governance completeness.</t>
        </is>
      </c>
    </row>
    <row r="8">
      <c r="A8" s="9" t="inlineStr">
        <is>
          <t>D8 Zakat/CIT/WHT/VAT ops</t>
        </is>
      </c>
      <c r="B8" s="9" t="inlineStr">
        <is>
          <t>G&amp;A</t>
        </is>
      </c>
      <c r="C8" s="9" t="inlineStr">
        <is>
          <t>net assets</t>
        </is>
      </c>
      <c r="D8" s="9" t="inlineStr">
        <is>
          <t>V/F</t>
        </is>
      </c>
      <c r="E8" s="25" t="inlineStr">
        <is>
          <t>Protect</t>
        </is>
      </c>
      <c r="F8" s="17" t="n">
        <v>6000</v>
      </c>
      <c r="G8" s="17" t="n">
        <v>8000</v>
      </c>
      <c r="H8" s="17" t="n">
        <v>10000</v>
      </c>
      <c r="I8" s="9" t="inlineStr">
        <is>
          <t>Finance</t>
        </is>
      </c>
      <c r="J8" s="10" t="inlineStr">
        <is>
          <t>Statutory, owed even at a loss; under-provisioning is a compliance risk, not a saving.</t>
        </is>
      </c>
    </row>
    <row r="9">
      <c r="A9" s="9" t="inlineStr">
        <is>
          <t>C1 Quota-carrying reps</t>
        </is>
      </c>
      <c r="B9" s="9" t="inlineStr">
        <is>
          <t>S&amp;M</t>
        </is>
      </c>
      <c r="C9" s="9" t="inlineStr">
        <is>
          <t>quota capacity</t>
        </is>
      </c>
      <c r="D9" s="9" t="inlineStr">
        <is>
          <t>S</t>
        </is>
      </c>
      <c r="E9" s="25" t="inlineStr">
        <is>
          <t>Protect→Defer</t>
        </is>
      </c>
      <c r="F9" s="17" t="n">
        <v>60000</v>
      </c>
      <c r="G9" s="17" t="n">
        <v>100000</v>
      </c>
      <c r="H9" s="17" t="n">
        <v>160000</v>
      </c>
      <c r="I9" s="9" t="inlineStr">
        <is>
          <t>CRO</t>
        </is>
      </c>
      <c r="J9" s="10" t="inlineStr">
        <is>
          <t>Capacity that closes revenue; protect productive reps, gate new adds on the magic number.</t>
        </is>
      </c>
    </row>
    <row r="10">
      <c r="A10" s="9" t="inlineStr">
        <is>
          <t>A6 Tier-1 support</t>
        </is>
      </c>
      <c r="B10" s="9" t="inlineStr">
        <is>
          <t>CoR</t>
        </is>
      </c>
      <c r="C10" s="9" t="inlineStr">
        <is>
          <t>tickets</t>
        </is>
      </c>
      <c r="D10" s="9" t="inlineStr">
        <is>
          <t>S/V</t>
        </is>
      </c>
      <c r="E10" s="26" t="inlineStr">
        <is>
          <t>Defer</t>
        </is>
      </c>
      <c r="F10" s="17" t="n">
        <v>3000</v>
      </c>
      <c r="G10" s="17" t="n">
        <v>4455</v>
      </c>
      <c r="H10" s="17" t="n">
        <v>7000</v>
      </c>
      <c r="I10" s="9" t="inlineStr">
        <is>
          <t>Support</t>
        </is>
      </c>
      <c r="J10" s="10" t="inlineStr">
        <is>
          <t>Keeps customers unblocked; deflect via self-serve first, then staff to residual load.</t>
        </is>
      </c>
    </row>
    <row r="11">
      <c r="A11" s="9" t="inlineStr">
        <is>
          <t>A8 Implementation delivery</t>
        </is>
      </c>
      <c r="B11" s="9" t="inlineStr">
        <is>
          <t>CoR</t>
        </is>
      </c>
      <c r="C11" s="9" t="inlineStr">
        <is>
          <t>onboardings</t>
        </is>
      </c>
      <c r="D11" s="9" t="inlineStr">
        <is>
          <t>V</t>
        </is>
      </c>
      <c r="E11" s="26" t="inlineStr">
        <is>
          <t>Defer</t>
        </is>
      </c>
      <c r="F11" s="17" t="n">
        <v>60000</v>
      </c>
      <c r="G11" s="17" t="n">
        <v>100000</v>
      </c>
      <c r="H11" s="17" t="n">
        <v>140000</v>
      </c>
      <c r="I11" s="9" t="inlineStr">
        <is>
          <t>Services</t>
        </is>
      </c>
      <c r="J11" s="10" t="inlineStr">
        <is>
          <t>Gets customers live; fenced &lt;20% of revenue and pushed to SI partners over time.</t>
        </is>
      </c>
    </row>
    <row r="12">
      <c r="A12" s="9" t="inlineStr">
        <is>
          <t>A5 AI inference (capped)</t>
        </is>
      </c>
      <c r="B12" s="9" t="inlineStr">
        <is>
          <t>CoR</t>
        </is>
      </c>
      <c r="C12" s="9" t="inlineStr">
        <is>
          <t>claims</t>
        </is>
      </c>
      <c r="D12" s="9" t="inlineStr">
        <is>
          <t>V-cap</t>
        </is>
      </c>
      <c r="E12" s="26" t="inlineStr">
        <is>
          <t>Defer</t>
        </is>
      </c>
      <c r="F12" s="17" t="n">
        <v>3000</v>
      </c>
      <c r="G12" s="17" t="n">
        <v>4660</v>
      </c>
      <c r="H12" s="17" t="n">
        <v>6000</v>
      </c>
      <c r="I12" s="9" t="inlineStr">
        <is>
          <t>Product</t>
        </is>
      </c>
      <c r="J12" s="10" t="inlineStr">
        <is>
          <t>Improves attribution; hard-capped so it can never erode gross margin.</t>
        </is>
      </c>
    </row>
    <row r="13">
      <c r="A13" s="9" t="inlineStr">
        <is>
          <t>C3 Paid demand generation</t>
        </is>
      </c>
      <c r="B13" s="9" t="inlineStr">
        <is>
          <t>S&amp;M</t>
        </is>
      </c>
      <c r="C13" s="9" t="inlineStr">
        <is>
          <t>pipeline target</t>
        </is>
      </c>
      <c r="D13" s="9" t="inlineStr">
        <is>
          <t>V</t>
        </is>
      </c>
      <c r="E13" s="27" t="inlineStr">
        <is>
          <t>Cut-first</t>
        </is>
      </c>
      <c r="F13" s="17" t="n">
        <v>0</v>
      </c>
      <c r="G13" s="17" t="n">
        <v>40000</v>
      </c>
      <c r="H13" s="17" t="n">
        <v>90000</v>
      </c>
      <c r="I13" s="9" t="inlineStr">
        <is>
          <t>Marketing</t>
        </is>
      </c>
      <c r="J13" s="10" t="inlineStr">
        <is>
          <t>Buys pipeline; first to cut when cash tightens — founder-led motion covers the MV case.</t>
        </is>
      </c>
    </row>
    <row r="14">
      <c r="A14" s="9" t="inlineStr">
        <is>
          <t>D5 Internal SaaS / IT</t>
        </is>
      </c>
      <c r="B14" s="9" t="inlineStr">
        <is>
          <t>G&amp;A</t>
        </is>
      </c>
      <c r="C14" s="9" t="inlineStr">
        <is>
          <t>headcount</t>
        </is>
      </c>
      <c r="D14" s="9" t="inlineStr">
        <is>
          <t>S/V</t>
        </is>
      </c>
      <c r="E14" s="27" t="inlineStr">
        <is>
          <t>Cut-first</t>
        </is>
      </c>
      <c r="F14" s="17" t="n">
        <v>6000</v>
      </c>
      <c r="G14" s="17" t="n">
        <v>10000</v>
      </c>
      <c r="H14" s="17" t="n">
        <v>16000</v>
      </c>
      <c r="I14" s="9" t="inlineStr">
        <is>
          <t>IT</t>
        </is>
      </c>
      <c r="J14" s="10" t="inlineStr">
        <is>
          <t>Enables the team; sprawl-prone — consolidate onto fewer platforms and purge shelfware.</t>
        </is>
      </c>
    </row>
    <row r="15">
      <c r="A15" s="9" t="inlineStr">
        <is>
          <t>D6 Facilities / office</t>
        </is>
      </c>
      <c r="B15" s="9" t="inlineStr">
        <is>
          <t>G&amp;A</t>
        </is>
      </c>
      <c r="C15" s="9" t="inlineStr">
        <is>
          <t>headcount</t>
        </is>
      </c>
      <c r="D15" s="9" t="inlineStr">
        <is>
          <t>F/S</t>
        </is>
      </c>
      <c r="E15" s="26" t="inlineStr">
        <is>
          <t>Defer</t>
        </is>
      </c>
      <c r="F15" s="17" t="n">
        <v>10000</v>
      </c>
      <c r="G15" s="17" t="n">
        <v>15000</v>
      </c>
      <c r="H15" s="17" t="n">
        <v>25000</v>
      </c>
      <c r="I15" s="9" t="inlineStr">
        <is>
          <t>Ops</t>
        </is>
      </c>
      <c r="J15" s="10" t="inlineStr">
        <is>
          <t>Somewhere to work; right-size to actual headcount, expand only when full.</t>
        </is>
      </c>
    </row>
    <row r="16">
      <c r="A16" s="5" t="inlineStr">
        <is>
          <t>Target-level total (illustrative)</t>
        </is>
      </c>
      <c r="G16" s="20">
        <f>SUM(G5:G15)</f>
        <v>466115</v>
      </c>
      <c r="J16" s="10" t="inlineStr">
        <is>
          <t>Sum of Target service levels — the funded envelope if every package is bought at Target.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2" customWidth="1" min="3" max="3"/>
    <col width="30" customWidth="1" min="4" max="4"/>
  </cols>
  <sheetData>
    <row r="1">
      <c r="A1" s="1" t="inlineStr">
        <is>
          <t>PHASE VIEW — how the zero-base changes shape across the phase model</t>
        </is>
      </c>
    </row>
    <row r="2">
      <c r="A2" s="2" t="inlineStr">
        <is>
          <t>New cost pools switch ON only at their phase gate. Current phase is driven by Drivers!B6.</t>
        </is>
      </c>
    </row>
    <row r="4">
      <c r="A4" s="5" t="inlineStr">
        <is>
          <t>Current phase:</t>
        </is>
      </c>
      <c r="B4" s="28">
        <f>Drivers!$B$6</f>
        <v>2</v>
      </c>
    </row>
    <row r="5">
      <c r="A5" s="5" t="inlineStr">
        <is>
          <t>Payout rails active?</t>
        </is>
      </c>
      <c r="B5" s="12" t="str">
        <f>IF(Drivers!$B$6&gt;=2,"ON","OFF")</f>
        <v>ON</v>
      </c>
    </row>
    <row r="6">
      <c r="A6" s="5" t="inlineStr">
        <is>
          <t>Settlement/% layer?</t>
        </is>
      </c>
      <c r="B6" s="12" t="str">
        <f>IF(Drivers!$B$6&gt;=2,"ON (capped, fenced)","OFF")</f>
        <v>ON (capped, fenced)</v>
      </c>
    </row>
    <row r="8">
      <c r="A8" s="29" t="inlineStr"/>
      <c r="B8" s="29" t="inlineStr">
        <is>
          <t>Phase 1 — Capture</t>
        </is>
      </c>
      <c r="C8" s="29" t="inlineStr">
        <is>
          <t>Phase 2 — Settle</t>
        </is>
      </c>
      <c r="D8" s="29" t="inlineStr">
        <is>
          <t>Phase 3 — Orchestrate</t>
        </is>
      </c>
    </row>
    <row r="9">
      <c r="A9" s="30" t="inlineStr">
        <is>
          <t>Timeline</t>
        </is>
      </c>
      <c r="B9" s="31" t="inlineStr">
        <is>
          <t>M0–9 (all pre-seed)</t>
        </is>
      </c>
      <c r="C9" s="31" t="inlineStr">
        <is>
          <t>M9–24</t>
        </is>
      </c>
      <c r="D9" s="31" t="inlineStr">
        <is>
          <t>M24+</t>
        </is>
      </c>
    </row>
    <row r="10">
      <c r="A10" s="30" t="inlineStr">
        <is>
          <t>CoR</t>
        </is>
      </c>
      <c r="B10" s="31" t="inlineStr">
        <is>
          <t>Base cloud + first tenants; NO rails/payouts</t>
        </is>
      </c>
      <c r="C10" s="31" t="inlineStr">
        <is>
          <t>Rails/KYB/AML/e-sign/ZATCA/settlement ON; defend 70% floor</t>
        </is>
      </c>
      <c r="D10" s="31" t="inlineStr">
        <is>
          <t>Network/data cost ~100% GM; unit cost falls</t>
        </is>
      </c>
    </row>
    <row r="11">
      <c r="A11" s="30" t="inlineStr">
        <is>
          <t>R&amp;D</t>
        </is>
      </c>
      <c r="B11" s="31" t="inlineStr">
        <is>
          <t>High — build the PRM</t>
        </is>
      </c>
      <c r="C11" s="31" t="inlineStr">
        <is>
          <t>High — ledger/rule-engine/reconciliation</t>
        </is>
      </c>
      <c r="D11" s="31" t="inlineStr">
        <is>
          <t>Med — forecasting/co-sell/identity</t>
        </is>
      </c>
    </row>
    <row r="12">
      <c r="A12" s="30" t="inlineStr">
        <is>
          <t>S&amp;M</t>
        </is>
      </c>
      <c r="B12" s="31" t="inlineStr">
        <is>
          <t>Low — founder-led</t>
        </is>
      </c>
      <c r="C12" s="31" t="inlineStr">
        <is>
          <t>Med–high — reps, magic-number-gated</t>
        </is>
      </c>
      <c r="D12" s="31" t="inlineStr">
        <is>
          <t>High but efficiency-gated; expansion-led</t>
        </is>
      </c>
    </row>
    <row r="13">
      <c r="A13" s="30" t="inlineStr">
        <is>
          <t>G&amp;A</t>
        </is>
      </c>
      <c r="B13" s="31" t="inlineStr">
        <is>
          <t>Med — one-time setup + statutory</t>
        </is>
      </c>
      <c r="C13" s="31" t="inlineStr">
        <is>
          <t>Med — controls, SOC2, multi-entity</t>
        </is>
      </c>
      <c r="D13" s="31" t="inlineStr">
        <is>
          <t>Falls sub-linearly (operating leverage)</t>
        </is>
      </c>
    </row>
    <row r="14">
      <c r="A14" s="30" t="inlineStr">
        <is>
          <t>Protected set</t>
        </is>
      </c>
      <c r="B14" s="31" t="inlineStr">
        <is>
          <t>Runway, statutory, security baseline</t>
        </is>
      </c>
      <c r="C14" s="31" t="inlineStr">
        <is>
          <t>+ rails reliability, settlement idempotency, audit</t>
        </is>
      </c>
      <c r="D14" s="31" t="inlineStr">
        <is>
          <t>+ network integrity, data governance</t>
        </is>
      </c>
    </row>
    <row r="15">
      <c r="A15" s="30" t="inlineStr">
        <is>
          <t>Gate to next</t>
        </is>
      </c>
      <c r="B15" s="31" t="inlineStr">
        <is>
          <t>100+ claims · 3–5 design partners · WAU</t>
        </is>
      </c>
      <c r="C15" s="31" t="inlineStr">
        <is>
          <t>Idempotent settlement · clean ERP recon · CFO trust</t>
        </is>
      </c>
      <c r="D15" s="31" t="inlineStr">
        <is>
          <t>—</t>
        </is>
      </c>
    </row>
    <row r="17">
      <c r="A17" s="5" t="inlineStr">
        <is>
          <t>Rationale</t>
        </is>
      </c>
      <c r="B17" s="4" t="inlineStr">
        <is>
          <t>The cost base is not one shape — it is three. Funding a Phase-2 cost pool during Phase 1 (e.g. rails, settlement ops) is spend with no driver yet, and funding a Phase-1 posture at Phase 3 leaves operating leverage on the table.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58" customWidth="1" min="3" max="3"/>
  </cols>
  <sheetData>
    <row r="1">
      <c r="A1" s="1" t="inlineStr">
        <is>
          <t>DASHBOARD — cost architecture outputs (SAR / month unless noted)</t>
        </is>
      </c>
    </row>
    <row r="2">
      <c r="A2" s="2" t="inlineStr">
        <is>
          <t>All values flow from Drivers × Rates. Illustrative scale snapshot; flex the levers to explore. Rationale at right.</t>
        </is>
      </c>
    </row>
    <row r="4">
      <c r="A4" s="6" t="inlineStr">
        <is>
          <t>REVENUE</t>
        </is>
      </c>
      <c r="B4" s="7" t="n"/>
      <c r="C4" s="7" t="n"/>
    </row>
    <row r="5">
      <c r="A5" s="4" t="inlineStr">
        <is>
          <t>Subscription revenue</t>
        </is>
      </c>
      <c r="B5" s="32">
        <f>CostToServe!$D$12</f>
        <v>801666.666667</v>
      </c>
      <c r="C5" s="10" t="inlineStr">
        <is>
          <t>Recurring software revenue — what the multiple is built on.</t>
        </is>
      </c>
    </row>
    <row r="6">
      <c r="A6" s="4" t="inlineStr">
        <is>
          <t>Services revenue (fenced)</t>
        </is>
      </c>
      <c r="B6" s="19">
        <f>Drivers!$B$33*Rates!$B$26</f>
        <v>120000</v>
      </c>
      <c r="C6" s="10" t="inlineStr">
        <is>
          <t>One-time implementation; fenced so it doesn't dilute the software story.</t>
        </is>
      </c>
    </row>
    <row r="7">
      <c r="A7" s="5" t="inlineStr">
        <is>
          <t>Total revenue</t>
        </is>
      </c>
      <c r="B7" s="20">
        <f>B5+B6</f>
        <v>921666.666667</v>
      </c>
      <c r="C7" s="10" t="inlineStr">
        <is>
          <t>Top line for the period.</t>
        </is>
      </c>
    </row>
    <row r="9">
      <c r="A9" s="6" t="inlineStr">
        <is>
          <t>GROSS MARGIN</t>
        </is>
      </c>
      <c r="B9" s="7" t="n"/>
      <c r="C9" s="7" t="n"/>
    </row>
    <row r="10">
      <c r="A10" s="4" t="inlineStr">
        <is>
          <t>Subscription CoR</t>
        </is>
      </c>
      <c r="B10" s="32">
        <f>CostToServe!$G$12</f>
        <v>84589.5</v>
      </c>
      <c r="C10" s="10" t="inlineStr">
        <is>
          <t>Cost to run the software for paying customers.</t>
        </is>
      </c>
    </row>
    <row r="11">
      <c r="A11" s="4" t="inlineStr">
        <is>
          <t>Services CoR</t>
        </is>
      </c>
      <c r="B11" s="19">
        <f>CBS!$B$18</f>
        <v>100000</v>
      </c>
      <c r="C11" s="10" t="inlineStr">
        <is>
          <t>Cost to deliver implementations.</t>
        </is>
      </c>
    </row>
    <row r="12">
      <c r="A12" s="5" t="inlineStr">
        <is>
          <t>Total CoR</t>
        </is>
      </c>
      <c r="B12" s="20">
        <f>B10+B11</f>
        <v>184589.5</v>
      </c>
      <c r="C12" s="10" t="inlineStr">
        <is>
          <t>All cost of revenue.</t>
        </is>
      </c>
    </row>
    <row r="13">
      <c r="A13" s="5" t="inlineStr">
        <is>
          <t>Gross profit</t>
        </is>
      </c>
      <c r="B13" s="20">
        <f>B7-B12</f>
        <v>737077.166667</v>
      </c>
      <c r="C13" s="10" t="inlineStr">
        <is>
          <t>Revenue minus cost of revenue.</t>
        </is>
      </c>
    </row>
    <row r="14">
      <c r="A14" s="5" t="inlineStr">
        <is>
          <t>Blended gross margin %</t>
        </is>
      </c>
      <c r="B14" s="23">
        <f>IFERROR(B13/B7,0)</f>
        <v>0.799722</v>
      </c>
      <c r="C14" s="10" t="inlineStr">
        <is>
          <t>The number the equity multiple keys off — must clear 70%.</t>
        </is>
      </c>
    </row>
    <row r="15">
      <c r="A15" s="4" t="inlineStr">
        <is>
          <t>Subscription GM %</t>
        </is>
      </c>
      <c r="B15" s="22">
        <f>IFERROR((B5-B10)/B5,0)</f>
        <v>0.894483</v>
      </c>
      <c r="C15" s="10" t="inlineStr">
        <is>
          <t>Software margin; target 80–85%.</t>
        </is>
      </c>
    </row>
    <row r="16">
      <c r="A16" s="4" t="inlineStr">
        <is>
          <t>Services GM %</t>
        </is>
      </c>
      <c r="B16" s="22">
        <f>IFERROR((B6-B11)/B6,0)</f>
        <v>0.166667</v>
      </c>
      <c r="C16" s="10" t="inlineStr">
        <is>
          <t>Kept near-breakeven on purpose; fenced.</t>
        </is>
      </c>
    </row>
    <row r="17">
      <c r="A17" s="5" t="inlineStr">
        <is>
          <t>&gt;= 70% floor check</t>
        </is>
      </c>
      <c r="B17" s="33" t="str">
        <f>IF(B14&gt;=0.7,"PASS ✅","BREACH ⚠️")</f>
        <v>PASS ✅</v>
      </c>
      <c r="C17" s="10" t="inlineStr">
        <is>
          <t>Hard guardrail from the pricing strategy; a breach means re-price or cut cost-to-serve.</t>
        </is>
      </c>
    </row>
    <row r="19">
      <c r="A19" s="6" t="inlineStr">
        <is>
          <t>OPERATING EXPENSE</t>
        </is>
      </c>
      <c r="B19" s="7" t="n"/>
      <c r="C19" s="7" t="n"/>
    </row>
    <row r="20">
      <c r="A20" s="4" t="inlineStr">
        <is>
          <t>R&amp;D</t>
        </is>
      </c>
      <c r="B20" s="19">
        <f>SUMIF(CBS!$C$5:$C$26,"R&amp;D",CBS!$B$5:$B$26)</f>
        <v>175996.8</v>
      </c>
      <c r="C20" s="10" t="inlineStr">
        <is>
          <t>Spend on building the product.</t>
        </is>
      </c>
    </row>
    <row r="21">
      <c r="A21" s="4" t="inlineStr">
        <is>
          <t>S&amp;M</t>
        </is>
      </c>
      <c r="B21" s="19">
        <f>SUMIF(CBS!$C$5:$C$26,"S&amp;M",CBS!$B$5:$B$26)</f>
        <v>140002</v>
      </c>
      <c r="C21" s="10" t="inlineStr">
        <is>
          <t>Spend on acquiring and expanding customers.</t>
        </is>
      </c>
    </row>
    <row r="22">
      <c r="A22" s="4" t="inlineStr">
        <is>
          <t>G&amp;A</t>
        </is>
      </c>
      <c r="B22" s="19">
        <f>SUMIF(CBS!$C$5:$C$26,"G&amp;A",CBS!$B$5:$B$26)</f>
        <v>165000</v>
      </c>
      <c r="C22" s="10" t="inlineStr">
        <is>
          <t>Spend on running the company.</t>
        </is>
      </c>
    </row>
    <row r="23">
      <c r="A23" s="5" t="inlineStr">
        <is>
          <t>Total OpEx</t>
        </is>
      </c>
      <c r="B23" s="20">
        <f>SUM(B20:B22)</f>
        <v>480998.8</v>
      </c>
      <c r="C23" s="10" t="inlineStr">
        <is>
          <t>All operating expense below gross profit.</t>
        </is>
      </c>
    </row>
    <row r="25">
      <c r="A25" s="6" t="inlineStr">
        <is>
          <t>PROFITABILITY &amp; COST RATIOS</t>
        </is>
      </c>
      <c r="B25" s="7" t="n"/>
      <c r="C25" s="7" t="n"/>
    </row>
    <row r="26">
      <c r="A26" s="5" t="inlineStr">
        <is>
          <t>Operating income</t>
        </is>
      </c>
      <c r="B26" s="20">
        <f>B13-B23</f>
        <v>256078.366667</v>
      </c>
      <c r="C26" s="10" t="inlineStr">
        <is>
          <t>Gross profit minus OpEx.</t>
        </is>
      </c>
    </row>
    <row r="27">
      <c r="A27" s="4" t="inlineStr">
        <is>
          <t>Operating margin %</t>
        </is>
      </c>
      <c r="B27" s="22">
        <f>IFERROR(B26/B7,0)</f>
        <v>0.277843</v>
      </c>
      <c r="C27" s="10" t="inlineStr">
        <is>
          <t>Profitability of the period.</t>
        </is>
      </c>
    </row>
    <row r="28">
      <c r="A28" s="4" t="inlineStr">
        <is>
          <t>R&amp;D % of revenue</t>
        </is>
      </c>
      <c r="B28" s="22">
        <f>IFERROR(B20/B7,0)</f>
        <v>0.190955</v>
      </c>
      <c r="C28" s="10" t="inlineStr">
        <is>
          <t>Benchmark 15–25%.</t>
        </is>
      </c>
    </row>
    <row r="29">
      <c r="A29" s="4" t="inlineStr">
        <is>
          <t>S&amp;M % of revenue</t>
        </is>
      </c>
      <c r="B29" s="22">
        <f>IFERROR(B21/B7,0)</f>
        <v>0.151901</v>
      </c>
      <c r="C29" s="10" t="inlineStr">
        <is>
          <t>Benchmark 25–55% (phase-dependent).</t>
        </is>
      </c>
    </row>
    <row r="30">
      <c r="A30" s="4" t="inlineStr">
        <is>
          <t>G&amp;A % of revenue</t>
        </is>
      </c>
      <c r="B30" s="22">
        <f>IFERROR(B22/B7,0)</f>
        <v>0.179024</v>
      </c>
      <c r="C30" s="10" t="inlineStr">
        <is>
          <t>Benchmark &lt;10–15%; drive down with scale.</t>
        </is>
      </c>
    </row>
    <row r="32">
      <c r="A32" s="6" t="inlineStr">
        <is>
          <t>UNIT ECONOMICS</t>
        </is>
      </c>
      <c r="B32" s="7" t="n"/>
      <c r="C32" s="7" t="n"/>
    </row>
    <row r="33">
      <c r="A33" s="4" t="inlineStr">
        <is>
          <t>Cost to serve per customer / mo</t>
        </is>
      </c>
      <c r="B33" s="34">
        <f>IFERROR(B10/Drivers!$B$13,0)</f>
        <v>636.011278</v>
      </c>
      <c r="C33" s="10" t="inlineStr">
        <is>
          <t>Unit cost — should FALL as volume grows (operating leverage).</t>
        </is>
      </c>
    </row>
    <row r="34">
      <c r="A34" s="4" t="inlineStr">
        <is>
          <t>Cost per active partner / mo</t>
        </is>
      </c>
      <c r="B34" s="34">
        <f>IFERROR(B10/Drivers!$B$21,0)</f>
        <v>18.152253</v>
      </c>
      <c r="C34" s="10" t="inlineStr">
        <is>
          <t>Unit cost on the main driver.</t>
        </is>
      </c>
    </row>
    <row r="35">
      <c r="A35" s="4" t="inlineStr">
        <is>
          <t>Cost per claim</t>
        </is>
      </c>
      <c r="B35" s="34">
        <f>IFERROR(B10/Drivers!$B$25,0)</f>
        <v>9.076127</v>
      </c>
      <c r="C35" s="10" t="inlineStr">
        <is>
          <t>Unit cost on throughput.</t>
        </is>
      </c>
    </row>
    <row r="36">
      <c r="A36" s="4" t="inlineStr">
        <is>
          <t>Annualized subscription ARR</t>
        </is>
      </c>
      <c r="B36" s="19">
        <f>B5*12</f>
        <v>9620000</v>
      </c>
      <c r="C36" s="10" t="inlineStr">
        <is>
          <t>Recurring run-rate.</t>
        </is>
      </c>
    </row>
    <row r="38">
      <c r="A38" s="6" t="inlineStr">
        <is>
          <t>RULE OF 40 (shell)</t>
        </is>
      </c>
      <c r="B38" s="7" t="n"/>
      <c r="C38" s="7" t="n"/>
    </row>
    <row r="39">
      <c r="A39" s="4" t="inlineStr">
        <is>
          <t>YoY revenue growth % (input)</t>
        </is>
      </c>
      <c r="B39" s="18" t="n">
        <v>0.6</v>
      </c>
      <c r="C39" s="10" t="inlineStr">
        <is>
          <t>Your growth rate — a lever for the Rule-of-40 health check.</t>
        </is>
      </c>
    </row>
    <row r="40">
      <c r="A40" s="4" t="inlineStr">
        <is>
          <t>FCF margin proxy (= operating margin)</t>
        </is>
      </c>
      <c r="B40" s="22">
        <f>B27</f>
        <v>0.277843</v>
      </c>
      <c r="C40" s="10" t="inlineStr">
        <is>
          <t>Operating margin as a stand-in for free-cash-flow margin.</t>
        </is>
      </c>
    </row>
    <row r="41">
      <c r="A41" s="5" t="inlineStr">
        <is>
          <t>Rule of 40 (growth% + FCF%)</t>
        </is>
      </c>
      <c r="B41" s="23">
        <f>B39+B40</f>
        <v>0.877843</v>
      </c>
      <c r="C41" s="35" t="str">
        <f>IF(B41&gt;=0.4,"PASS ✅ (&gt;=40)","below 40")</f>
        <v>PASS ✅ (&gt;=40)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56" customWidth="1" min="3" max="3"/>
  </cols>
  <sheetData>
    <row r="1">
      <c r="A1" s="1" t="inlineStr">
        <is>
          <t>PHASE-1 ZERO-BASE RECONCILIATION → 2,000,000.00 SAR (canonical)</t>
        </is>
      </c>
    </row>
    <row r="2">
      <c r="A2" s="2" t="inlineStr">
        <is>
          <t>Canonical values from Pre_Seed_2M_SAR_Financial_Model_Blueprint.md — DO NOT EDIT. Proves the Phase-1 zero-base ties to the round.</t>
        </is>
      </c>
    </row>
    <row r="4">
      <c r="A4" s="5" t="inlineStr">
        <is>
          <t>Pillar</t>
        </is>
      </c>
      <c r="B4" s="5" t="inlineStr">
        <is>
          <t>SAR</t>
        </is>
      </c>
      <c r="C4" s="5" t="inlineStr">
        <is>
          <t>ZBC mapping &amp; rationale</t>
        </is>
      </c>
    </row>
    <row r="5">
      <c r="A5" s="4" t="inlineStr">
        <is>
          <t>Founders &amp; basic cloud (12 mo)</t>
        </is>
      </c>
      <c r="B5" s="36" t="n">
        <v>829306.25</v>
      </c>
      <c r="C5" s="10" t="inlineStr">
        <is>
          <t>G&amp;A (founder comp/burden) + CoR (cloud base) — the core team + the only pre-revenue CoR.</t>
        </is>
      </c>
    </row>
    <row r="6">
      <c r="A6" s="4" t="inlineStr">
        <is>
          <t>Execution team — 6 hires (11 mo)</t>
        </is>
      </c>
      <c r="B6" s="36" t="n">
        <v>926200</v>
      </c>
      <c r="C6" s="10" t="inlineStr">
        <is>
          <t>R&amp;D + S&amp;M + CoR (support/CS) — capacity to build and prove the wedge.</t>
        </is>
      </c>
    </row>
    <row r="7">
      <c r="A7" s="4" t="inlineStr">
        <is>
          <t>Setup &amp; legal (one-time, M1)</t>
        </is>
      </c>
      <c r="B7" s="36" t="n">
        <v>158083.75</v>
      </c>
      <c r="C7" s="10" t="inlineStr">
        <is>
          <t>G&amp;A one-time — statutory entity/visa/ZATCA setup that must happen before anything else.</t>
        </is>
      </c>
    </row>
    <row r="8">
      <c r="A8" s="4" t="inlineStr">
        <is>
          <t>Emergency cash buffer</t>
        </is>
      </c>
      <c r="B8" s="36" t="n">
        <v>86410</v>
      </c>
      <c r="C8" s="10" t="inlineStr">
        <is>
          <t>Reserve — never a spend package; the liquidity floor that protects runway.</t>
        </is>
      </c>
    </row>
    <row r="9">
      <c r="A9" s="5" t="inlineStr">
        <is>
          <t>TOTAL PRE-SEED ROUND</t>
        </is>
      </c>
      <c r="B9" s="36">
        <f>SUM(B5:B8)</f>
        <v>2000000</v>
      </c>
      <c r="C9" s="10" t="inlineStr">
        <is>
          <t>Must equal the canonical round size exactly.</t>
        </is>
      </c>
    </row>
    <row r="10">
      <c r="A10" s="5" t="inlineStr">
        <is>
          <t>Reconciliation check</t>
        </is>
      </c>
      <c r="B10" s="37" t="str">
        <f>IF(ROUND(B9,2)=2000000,"RECONCILED ✅","OFF BY "&amp;TEXT(B9-2000000,"#,##0.00"))</f>
        <v>RECONCILED ✅</v>
      </c>
    </row>
    <row r="12">
      <c r="A12" s="5" t="inlineStr">
        <is>
          <t>Note</t>
        </is>
      </c>
      <c r="C12" s="4" t="inlineStr">
        <is>
          <t>Gross Burn = Product/R&amp;D + GTM + CS/Implementation + COGS + G&amp;A/Compliance.</t>
        </is>
      </c>
    </row>
    <row r="13">
      <c r="C13" s="4" t="inlineStr">
        <is>
          <t>All 12 pre-seed months are Phase-1 Capture (zero-revenue). The zero-based lens does not change the total</t>
        </is>
      </c>
    </row>
    <row r="14">
      <c r="C14" s="4" t="inlineStr">
        <is>
          <t>(a canonical fact) — it changes the DEFENSE: each pillar becomes an owned, ranked, service-leveled decision</t>
        </is>
      </c>
    </row>
    <row r="15">
      <c r="C15" s="4" t="inlineStr">
        <is>
          <t>package with a driver. Statutory rates (GOSI/EOSB/Zakat/WHT/VAT): verify before filing.</t>
        </is>
      </c>
    </row>
    <row r="17">
      <c r="A17" s="38" t="inlineStr">
        <is>
          <t>Canonical — do not edit the SAR column.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2026-07-19T02:32:34Z</dcterms:created>
  <dcterms:modified xsi:type="dcterms:W3CDTF">2026-07-19T02:32:34Z</dcterms:modified>
</cp:coreProperties>
</file>